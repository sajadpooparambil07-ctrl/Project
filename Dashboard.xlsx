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2.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c1664503675f6a0a/Documents/"/>
    </mc:Choice>
  </mc:AlternateContent>
  <xr:revisionPtr revIDLastSave="4" documentId="8_{10E0F044-3E69-43C5-B8C0-ADAD7597E8A6}" xr6:coauthVersionLast="47" xr6:coauthVersionMax="47" xr10:uidLastSave="{D49DCA0B-AD1B-4D9F-97E3-E1565D095A4B}"/>
  <bookViews>
    <workbookView xWindow="-108" yWindow="-108" windowWidth="23256" windowHeight="12456" activeTab="3" xr2:uid="{CA9E9E85-A50E-4B1C-9B88-B4C952CB1DA7}"/>
  </bookViews>
  <sheets>
    <sheet name="Sheet1" sheetId="1" r:id="rId1"/>
    <sheet name="pivottable" sheetId="4" r:id="rId2"/>
    <sheet name="Table1_1" sheetId="3" r:id="rId3"/>
    <sheet name="dashboard" sheetId="5" r:id="rId4"/>
  </sheets>
  <definedNames>
    <definedName name="ExternalData_2" localSheetId="2" hidden="1">Table1_1!$A$1:$L$200</definedName>
    <definedName name="Slicer_Batch">#N/A</definedName>
    <definedName name="Slicer_Course">#N/A</definedName>
    <definedName name="Slicer_Mode_of_study">#N/A</definedName>
  </definedNames>
  <calcPr calcId="191028"/>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4" l="1"/>
  <c r="E5" i="4" a="1"/>
  <c r="E6" i="4" a="1"/>
  <c r="E6" i="4" l="1"/>
  <c r="E5"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2B1FDC4-B0B2-4542-93D7-CDF11B50C8BA}" keepAlive="1" name="Query - Table1" description="Connection to the 'Table1' query in the workbook." type="5" refreshedVersion="8" background="1" refreshOnLoad="1" saveData="1">
    <dbPr connection="Provider=Microsoft.Mashup.OleDb.1;Data Source=$Workbook$;Location=Table1;Extended Properties=&quot;&quot;" command="SELECT * FROM [Table1]"/>
  </connection>
  <connection id="2" xr16:uid="{6C61A88F-D0C0-48B0-960B-7429FCB94E82}" keepAlive="1" name="Query - Table1_1" description="Connection to the 'Table1_1' query in the workbook." type="5" refreshedVersion="8" background="1" saveData="1">
    <dbPr connection="Provider=Microsoft.Mashup.OleDb.1;Data Source=$Workbook$;Location=Table1_1;Extended Properties=&quot;&quot;" command="SELECT * FROM [Table1_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<sst xmlns="http://schemas.openxmlformats.org/spreadsheetml/2006/main" count="5500" uniqueCount="934">
  <si>
    <t>OFFLINE</t>
  </si>
  <si>
    <t>OFF 01</t>
  </si>
  <si>
    <t>YES</t>
  </si>
  <si>
    <t>AKHIL RAJ</t>
  </si>
  <si>
    <t>NOV</t>
  </si>
  <si>
    <t>PREMUIM OFFLINE</t>
  </si>
  <si>
    <t>RATHEESH</t>
  </si>
  <si>
    <t>AUG</t>
  </si>
  <si>
    <t>FATHIMA</t>
  </si>
  <si>
    <t>SAJAD M PAJAY</t>
  </si>
  <si>
    <t>GEETHU</t>
  </si>
  <si>
    <t>SREERAG</t>
  </si>
  <si>
    <t>OFF 2</t>
  </si>
  <si>
    <t>24/11/2024</t>
  </si>
  <si>
    <t>ANEESH KUMAR</t>
  </si>
  <si>
    <t>30/11/2024</t>
  </si>
  <si>
    <t>ASWANI N M</t>
  </si>
  <si>
    <t>VIJITH</t>
  </si>
  <si>
    <t>DEC</t>
  </si>
  <si>
    <t>ONLINE</t>
  </si>
  <si>
    <t>ONL 3</t>
  </si>
  <si>
    <t>VASAN M M</t>
  </si>
  <si>
    <t>DONA</t>
  </si>
  <si>
    <t>OFF P 1</t>
  </si>
  <si>
    <t>ARSHUN K S</t>
  </si>
  <si>
    <t>RANISHA</t>
  </si>
  <si>
    <t>SHILPA RAJAN</t>
  </si>
  <si>
    <t>OFF L</t>
  </si>
  <si>
    <t>ANEES</t>
  </si>
  <si>
    <t>GULF</t>
  </si>
  <si>
    <t>GL 10</t>
  </si>
  <si>
    <t>13/12/2024</t>
  </si>
  <si>
    <t>ABHISH MURALI</t>
  </si>
  <si>
    <t>GULF PREMIUM</t>
  </si>
  <si>
    <t>HASHIM</t>
  </si>
  <si>
    <t>SATHEESH</t>
  </si>
  <si>
    <t>14/12/2024</t>
  </si>
  <si>
    <t>HAKKEEM V P</t>
  </si>
  <si>
    <t>SADANANDAN</t>
  </si>
  <si>
    <t>RINSHAD JASIL</t>
  </si>
  <si>
    <t>15/12/2024</t>
  </si>
  <si>
    <t>AMEEN</t>
  </si>
  <si>
    <t>16/12/2024</t>
  </si>
  <si>
    <t>AKHIL</t>
  </si>
  <si>
    <t>VIJESH A V</t>
  </si>
  <si>
    <t>21/12/2024</t>
  </si>
  <si>
    <t>SUDHEER</t>
  </si>
  <si>
    <t>23/12/2024</t>
  </si>
  <si>
    <t>VINEESHLAL</t>
  </si>
  <si>
    <t>SOUMYA</t>
  </si>
  <si>
    <t>MOIDEEN HAMRAS</t>
  </si>
  <si>
    <t>SHINIL C</t>
  </si>
  <si>
    <t>25/12/2024</t>
  </si>
  <si>
    <t>SANTHOSH KUMAR PK</t>
  </si>
  <si>
    <t>NOUFAL P K</t>
  </si>
  <si>
    <t>SHOBHANA P M</t>
  </si>
  <si>
    <t>ONL 4</t>
  </si>
  <si>
    <t>26/12/2024</t>
  </si>
  <si>
    <t>LAIJU ALIAS</t>
  </si>
  <si>
    <t>28/12/2024</t>
  </si>
  <si>
    <t>ASWANTH KRISHNA</t>
  </si>
  <si>
    <t>NO</t>
  </si>
  <si>
    <t>31/12/2024</t>
  </si>
  <si>
    <t>CHAITHRA B</t>
  </si>
  <si>
    <t>GL 11</t>
  </si>
  <si>
    <t>JITHESH K</t>
  </si>
  <si>
    <t>JOBIN</t>
  </si>
  <si>
    <t>JAN</t>
  </si>
  <si>
    <t>SHYLESH</t>
  </si>
  <si>
    <t>SHAFI K M</t>
  </si>
  <si>
    <t>BYJU K K</t>
  </si>
  <si>
    <t>ANAS NALAKATH</t>
  </si>
  <si>
    <t>ANUSREE G</t>
  </si>
  <si>
    <t>THUSHARA S</t>
  </si>
  <si>
    <t>SHAHULHAMEED</t>
  </si>
  <si>
    <t>AKHIL BABU</t>
  </si>
  <si>
    <t>MUHAMMED RASHID K</t>
  </si>
  <si>
    <t>ABDUSSALAM</t>
  </si>
  <si>
    <t>SUJITH</t>
  </si>
  <si>
    <t>ANTONY MICHAEL</t>
  </si>
  <si>
    <t>VINIL M JOSE</t>
  </si>
  <si>
    <t>ZIAD HASSAN</t>
  </si>
  <si>
    <t>BADUSHA A</t>
  </si>
  <si>
    <t>13-01-2025</t>
  </si>
  <si>
    <t>RAJEEV K R</t>
  </si>
  <si>
    <t>SATHEESH KUMAR</t>
  </si>
  <si>
    <t>15-01-2025</t>
  </si>
  <si>
    <t>ABIN KS</t>
  </si>
  <si>
    <t>GL 15</t>
  </si>
  <si>
    <t>16-01-2025</t>
  </si>
  <si>
    <t>LINTA VARGHESE</t>
  </si>
  <si>
    <t>GL 12</t>
  </si>
  <si>
    <t>RIZWANA SAGEER</t>
  </si>
  <si>
    <t>ONL 5</t>
  </si>
  <si>
    <t>KASTHURI</t>
  </si>
  <si>
    <t>17-01-2025</t>
  </si>
  <si>
    <t>SHAJAHAN</t>
  </si>
  <si>
    <t>ABHISHEK</t>
  </si>
  <si>
    <t>19-01-2025</t>
  </si>
  <si>
    <t>AKSHAY KUMAR</t>
  </si>
  <si>
    <t>20-01-2025</t>
  </si>
  <si>
    <t>MATHEW PHILIP</t>
  </si>
  <si>
    <t>JACOB JOHN</t>
  </si>
  <si>
    <t>22-01-2025</t>
  </si>
  <si>
    <t>RAMSHAD A K</t>
  </si>
  <si>
    <t>27-01-2025</t>
  </si>
  <si>
    <t>JOSEPH KURUVILA</t>
  </si>
  <si>
    <t>28-01-2025</t>
  </si>
  <si>
    <t>SHAMSAD T K</t>
  </si>
  <si>
    <t>29-01-2025</t>
  </si>
  <si>
    <t>SIJUMON V</t>
  </si>
  <si>
    <t>GL 13</t>
  </si>
  <si>
    <t>31-01-2025</t>
  </si>
  <si>
    <t>SHABEER</t>
  </si>
  <si>
    <t>ONL 6</t>
  </si>
  <si>
    <t>SHINESH</t>
  </si>
  <si>
    <t>FEB</t>
  </si>
  <si>
    <t>ISHAQ AP</t>
  </si>
  <si>
    <t>SUNIL ABRAHAM</t>
  </si>
  <si>
    <t>HARISH KUMAR</t>
  </si>
  <si>
    <t>ANAS VATAPURAM</t>
  </si>
  <si>
    <t>MUHAMMED AJMAL</t>
  </si>
  <si>
    <t>PRADEEP S P</t>
  </si>
  <si>
    <t>AFSAL</t>
  </si>
  <si>
    <t>RAYIS V M</t>
  </si>
  <si>
    <t>SHANU</t>
  </si>
  <si>
    <t>GL 14</t>
  </si>
  <si>
    <t>MANOOP G PANIKKAR</t>
  </si>
  <si>
    <t>SYEDALI</t>
  </si>
  <si>
    <t>MUHAMMED IBRAHIM</t>
  </si>
  <si>
    <t>RISWAN ALI C K</t>
  </si>
  <si>
    <t>SINNY R LAZAR</t>
  </si>
  <si>
    <t>SREEJITH K</t>
  </si>
  <si>
    <t>LIJIN VINCENT</t>
  </si>
  <si>
    <t>NANDU NARAYANAN</t>
  </si>
  <si>
    <t>MOHAMMED RASIQUE P</t>
  </si>
  <si>
    <t>OFF 5</t>
  </si>
  <si>
    <t>CHEESHMA</t>
  </si>
  <si>
    <t>ARUN KUMAR</t>
  </si>
  <si>
    <t>RIYAS P</t>
  </si>
  <si>
    <t>RENJITH</t>
  </si>
  <si>
    <t>13-02-2025</t>
  </si>
  <si>
    <t>NIPUN</t>
  </si>
  <si>
    <t>MUHAMMED SUHAIL TM</t>
  </si>
  <si>
    <t>14-02-2025</t>
  </si>
  <si>
    <t>SAJIN S</t>
  </si>
  <si>
    <t>REJILAL RAVI</t>
  </si>
  <si>
    <t>15-02-2025</t>
  </si>
  <si>
    <t>SREEJITH KENOTH</t>
  </si>
  <si>
    <t>SARATH</t>
  </si>
  <si>
    <t>16-02-2025</t>
  </si>
  <si>
    <t>SAMEER MUTHALEEF</t>
  </si>
  <si>
    <t>17-02-2025</t>
  </si>
  <si>
    <t>SHAMSUDHEEN KUNDIL</t>
  </si>
  <si>
    <t>FAISAL</t>
  </si>
  <si>
    <t>18-02-2025</t>
  </si>
  <si>
    <t>AJMAL ALI</t>
  </si>
  <si>
    <t>FRANCIS XAVIER</t>
  </si>
  <si>
    <t>19-02-2025</t>
  </si>
  <si>
    <t>SHON ANTONY</t>
  </si>
  <si>
    <t>GL 18</t>
  </si>
  <si>
    <t>SAJI JOHN</t>
  </si>
  <si>
    <t>20-02-2025</t>
  </si>
  <si>
    <t>FALLUDHEEN</t>
  </si>
  <si>
    <t>NASEEM TK</t>
  </si>
  <si>
    <t>21-02-2025</t>
  </si>
  <si>
    <t>ADARSH PS</t>
  </si>
  <si>
    <t>SAM GEORGE</t>
  </si>
  <si>
    <t>SHAJU</t>
  </si>
  <si>
    <t>SHAMSUDHEEN</t>
  </si>
  <si>
    <t>ANURAG</t>
  </si>
  <si>
    <t>MUHAMMED BASHEER M</t>
  </si>
  <si>
    <t>22-02-2025</t>
  </si>
  <si>
    <t>MUHAMMES MUSTHAFA V</t>
  </si>
  <si>
    <t>RATHEESH P S</t>
  </si>
  <si>
    <t>25-02-2025</t>
  </si>
  <si>
    <t>JEYAKODI ANANIAS</t>
  </si>
  <si>
    <t>SARFARAZ NAWAZ</t>
  </si>
  <si>
    <t>ARUN KUTTAN PILLAI</t>
  </si>
  <si>
    <t>26-02-2025</t>
  </si>
  <si>
    <t>JASFEER</t>
  </si>
  <si>
    <t>27-02-2025</t>
  </si>
  <si>
    <t>REENA MOHANDAS</t>
  </si>
  <si>
    <t>RADHAKRISHNAN CHANDRASEKHARAN</t>
  </si>
  <si>
    <t>28-02-2025</t>
  </si>
  <si>
    <t>SUBIN</t>
  </si>
  <si>
    <t>SAMEER MUHAMMED</t>
  </si>
  <si>
    <t>SAJI KUMAR</t>
  </si>
  <si>
    <t>SANTHOSH KUMAR E</t>
  </si>
  <si>
    <t>MAR</t>
  </si>
  <si>
    <t>SUMITH A P</t>
  </si>
  <si>
    <t>SREERAG RAGHAVAN</t>
  </si>
  <si>
    <t>GL 17</t>
  </si>
  <si>
    <t>SAFAR ALI</t>
  </si>
  <si>
    <t>SAJU GEORGE</t>
  </si>
  <si>
    <t>SHAFEER SULAIMAN</t>
  </si>
  <si>
    <t>MUHAMMED AFSAL</t>
  </si>
  <si>
    <t>ANSAR</t>
  </si>
  <si>
    <t>MANSOOR M K</t>
  </si>
  <si>
    <t>ONL 10</t>
  </si>
  <si>
    <t>20-06-2025</t>
  </si>
  <si>
    <t>MUNEER</t>
  </si>
  <si>
    <t>PRAVEEN M K</t>
  </si>
  <si>
    <t>SHAHUL HAMEED K</t>
  </si>
  <si>
    <t>SANTHOSH JOYKUTTY</t>
  </si>
  <si>
    <t>FAIZAL</t>
  </si>
  <si>
    <t>MOOSAKUTTY</t>
  </si>
  <si>
    <t>SAFEENA MOOSA</t>
  </si>
  <si>
    <t>NOUFAL M K</t>
  </si>
  <si>
    <t>DINESH KUMAR</t>
  </si>
  <si>
    <t>JITHESH JOHN</t>
  </si>
  <si>
    <t>ABHINAV S</t>
  </si>
  <si>
    <t>SUDHEESH S</t>
  </si>
  <si>
    <t>NIDHIN BALAN</t>
  </si>
  <si>
    <t>BESTIN XAVIER</t>
  </si>
  <si>
    <t>JUSTIN ARUL</t>
  </si>
  <si>
    <t>BIJU VARGHESE</t>
  </si>
  <si>
    <t>HARISANKAR ANILKUMAR</t>
  </si>
  <si>
    <t>13-03-2025</t>
  </si>
  <si>
    <t>SATHEESH R</t>
  </si>
  <si>
    <t>14-03-2025</t>
  </si>
  <si>
    <t>BAIJU THOMAS</t>
  </si>
  <si>
    <t>SHAMEEMA</t>
  </si>
  <si>
    <t>BIJUBALAN</t>
  </si>
  <si>
    <t>SHAHARBAN C P</t>
  </si>
  <si>
    <t>UNNIKRISHNAPILLAI SK</t>
  </si>
  <si>
    <t>15-03-2025</t>
  </si>
  <si>
    <t>MIDHUN PAVITHRAN</t>
  </si>
  <si>
    <t>ABDUL RASHEED VM</t>
  </si>
  <si>
    <t>ONL 7</t>
  </si>
  <si>
    <t>HASSAN KB</t>
  </si>
  <si>
    <t>THASNI HASSAN</t>
  </si>
  <si>
    <t>MANIKANDAN</t>
  </si>
  <si>
    <t>16-03-2025</t>
  </si>
  <si>
    <t>N ABDUL AMEER</t>
  </si>
  <si>
    <t>17-03-2025</t>
  </si>
  <si>
    <t>SANOJ P</t>
  </si>
  <si>
    <t>IJAS AHAMMED</t>
  </si>
  <si>
    <t>GIBIN JACOB GEORGE</t>
  </si>
  <si>
    <t>SADIK ALI CM</t>
  </si>
  <si>
    <t>18-03-2025</t>
  </si>
  <si>
    <t>LOHITH A K</t>
  </si>
  <si>
    <t>SACHIN</t>
  </si>
  <si>
    <t>MUHAMMED SHUHAIB M</t>
  </si>
  <si>
    <t>SULAIMAN EDATHOLE</t>
  </si>
  <si>
    <t>LIJO P JOHN</t>
  </si>
  <si>
    <t>19-03-2025</t>
  </si>
  <si>
    <t>DILJITH RENJAN</t>
  </si>
  <si>
    <t>RAHUL R</t>
  </si>
  <si>
    <t>BINU S</t>
  </si>
  <si>
    <t>ANEESH</t>
  </si>
  <si>
    <t>GL 16</t>
  </si>
  <si>
    <t>SIBI SASIKUMARAN</t>
  </si>
  <si>
    <t>20-03-2025</t>
  </si>
  <si>
    <t>SHINO GEORGE</t>
  </si>
  <si>
    <t>ANOOP KRISHNAN</t>
  </si>
  <si>
    <t>21-03-2025</t>
  </si>
  <si>
    <t>RAKESH PULIYAMPILLIL</t>
  </si>
  <si>
    <t>AKHIL P</t>
  </si>
  <si>
    <t>SHABEER ALI</t>
  </si>
  <si>
    <t>22-03-2025</t>
  </si>
  <si>
    <t>BINU RAJA</t>
  </si>
  <si>
    <t>SIJO JOHN</t>
  </si>
  <si>
    <t>JINOSH P K</t>
  </si>
  <si>
    <t>ONL 07</t>
  </si>
  <si>
    <t>JOSHIMON P J</t>
  </si>
  <si>
    <t>23-03-2025</t>
  </si>
  <si>
    <t>DILSHAAD</t>
  </si>
  <si>
    <t>RAJESH</t>
  </si>
  <si>
    <t>RAJEEV R</t>
  </si>
  <si>
    <t>25-03-2025</t>
  </si>
  <si>
    <t>AJIT G NAIR</t>
  </si>
  <si>
    <t>RAJESH K S</t>
  </si>
  <si>
    <t>MAYA JAMES</t>
  </si>
  <si>
    <t>26-03-2025</t>
  </si>
  <si>
    <t>GOKUL T</t>
  </si>
  <si>
    <t>27-03-2025</t>
  </si>
  <si>
    <t>ABHILASH ARAVINDAKSHAN</t>
  </si>
  <si>
    <t>VIJESH K</t>
  </si>
  <si>
    <t>28-03-2025</t>
  </si>
  <si>
    <t>MANJU</t>
  </si>
  <si>
    <t>29-03-2025</t>
  </si>
  <si>
    <t>RAHUL</t>
  </si>
  <si>
    <t>SOUMYA SHANOJ</t>
  </si>
  <si>
    <t>HAREESHMA J S</t>
  </si>
  <si>
    <t>ANOOP K VAS</t>
  </si>
  <si>
    <t>APR</t>
  </si>
  <si>
    <t>BASIC GULF 20K</t>
  </si>
  <si>
    <t>LIGY ANTONY IGNATIOUS</t>
  </si>
  <si>
    <t>ANEES A</t>
  </si>
  <si>
    <t>SHAJI CHALIL HAMSA</t>
  </si>
  <si>
    <t>DILEEP CHANDRAN</t>
  </si>
  <si>
    <t>MUSTHAFA</t>
  </si>
  <si>
    <t>BASIL K PAUL</t>
  </si>
  <si>
    <t>RAFI RASHEED</t>
  </si>
  <si>
    <t>GOUTHAM KRISHNA K R</t>
  </si>
  <si>
    <t>MUHAMMAD ZUBAIR</t>
  </si>
  <si>
    <t>SANTHOSH S</t>
  </si>
  <si>
    <t>FAIROSE C V</t>
  </si>
  <si>
    <t>ABDUL NISSAR T A</t>
  </si>
  <si>
    <t>NABEEL MUDAVENKATTIL SULAIMAN</t>
  </si>
  <si>
    <t>AJESH JAMES</t>
  </si>
  <si>
    <t>SARATH KUMAR S</t>
  </si>
  <si>
    <t>NISHA KUNJUMON</t>
  </si>
  <si>
    <t>A GANGADHARAN</t>
  </si>
  <si>
    <t>ANISH JOSEPH AMMINISSERIL</t>
  </si>
  <si>
    <t>ONLINE 20K</t>
  </si>
  <si>
    <t>ONL 8</t>
  </si>
  <si>
    <t>No response - exit action intiated</t>
  </si>
  <si>
    <t>MUHAMMAD SHUHAIB</t>
  </si>
  <si>
    <t>ANI RAVEENDRAN</t>
  </si>
  <si>
    <t>SHAMSUSAMAN SAINULABDIN</t>
  </si>
  <si>
    <t>MUJEEB</t>
  </si>
  <si>
    <t>JAFAR THOTTUPURATH</t>
  </si>
  <si>
    <t>ASHRAF</t>
  </si>
  <si>
    <t>NITHIN ASHOKAN</t>
  </si>
  <si>
    <t>No response - Exit action initiated</t>
  </si>
  <si>
    <t>VINESH</t>
  </si>
  <si>
    <t>ANSTIEN VINCENT</t>
  </si>
  <si>
    <t>JIMSHA MEPPAD</t>
  </si>
  <si>
    <t>JEEVAN SUNIL</t>
  </si>
  <si>
    <t>SUJITH M</t>
  </si>
  <si>
    <t>13-04-2025</t>
  </si>
  <si>
    <t>ANISH PODORA</t>
  </si>
  <si>
    <t>GL 19</t>
  </si>
  <si>
    <t>15-07-2025</t>
  </si>
  <si>
    <t>NO REPLY</t>
  </si>
  <si>
    <t>SHAMSEER</t>
  </si>
  <si>
    <t>SULFEEKAR PA</t>
  </si>
  <si>
    <t>MUHSIN RAHMAN</t>
  </si>
  <si>
    <t>VIJAYAKUMAR K R</t>
  </si>
  <si>
    <t>Month end</t>
  </si>
  <si>
    <t>14-04-2025</t>
  </si>
  <si>
    <t>SHABEER BABU</t>
  </si>
  <si>
    <t>ABOOBACKER POKKATHAZHATH</t>
  </si>
  <si>
    <t>SUJITH SUDHAKARAN</t>
  </si>
  <si>
    <t>15-04-2025</t>
  </si>
  <si>
    <t>GEORGE POLYCARP</t>
  </si>
  <si>
    <t>balance 5 k in aug (rilin sir)</t>
  </si>
  <si>
    <t>16-04-2025</t>
  </si>
  <si>
    <t>JAMSHEER M</t>
  </si>
  <si>
    <t>SHABEER THAYIKANDIYIL</t>
  </si>
  <si>
    <t>End of this month</t>
  </si>
  <si>
    <t>NEERAJ R</t>
  </si>
  <si>
    <t>NOT ATTENDING CLASS</t>
  </si>
  <si>
    <t>MOHAMMED SHEREEF</t>
  </si>
  <si>
    <t>SHIJU GANGAADHARAN</t>
  </si>
  <si>
    <t>Anuragh to update the date / no response</t>
  </si>
  <si>
    <t>17-04-2025</t>
  </si>
  <si>
    <t>MUHAMMED AJAS</t>
  </si>
  <si>
    <t>SHAMEEM K</t>
  </si>
  <si>
    <t>18-04-2025</t>
  </si>
  <si>
    <t>RAJU EANGERIKKAN CHALIL</t>
  </si>
  <si>
    <t>19-04-2025</t>
  </si>
  <si>
    <t>JIBIN RAJ MANDALATH</t>
  </si>
  <si>
    <t>ABDULLA</t>
  </si>
  <si>
    <t>20-04-2025</t>
  </si>
  <si>
    <t>JOMOL M JOY</t>
  </si>
  <si>
    <t>SREENATH B</t>
  </si>
  <si>
    <t>21-04-2025</t>
  </si>
  <si>
    <t>JINS JOSEPH</t>
  </si>
  <si>
    <t>ASHIQUE</t>
  </si>
  <si>
    <t>22-04-2025</t>
  </si>
  <si>
    <t>PREMSHANKAR</t>
  </si>
  <si>
    <t>RAJEEVAN A C</t>
  </si>
  <si>
    <t>NIDHINLAL</t>
  </si>
  <si>
    <t>23-04-2025</t>
  </si>
  <si>
    <t>ABDUL NAHAS (MEHAQ)</t>
  </si>
  <si>
    <t>25-04-2025</t>
  </si>
  <si>
    <t>VIJAYAN PALASSERY</t>
  </si>
  <si>
    <t>26-04-2025</t>
  </si>
  <si>
    <t>JAFIN</t>
  </si>
  <si>
    <t>27-04-2025</t>
  </si>
  <si>
    <t>BENNY ROY</t>
  </si>
  <si>
    <t>ABDUL RAZAK ABBAS</t>
  </si>
  <si>
    <t>28-04-2025</t>
  </si>
  <si>
    <t>SINTO SEBASTIAN</t>
  </si>
  <si>
    <t>GINJU MATHEW</t>
  </si>
  <si>
    <t>29-04-2025</t>
  </si>
  <si>
    <t>NOUSHIBA</t>
  </si>
  <si>
    <t>MUHAMMED HASHEEM</t>
  </si>
  <si>
    <t>SHAHINA FAIZAL UMMER</t>
  </si>
  <si>
    <t>30-04-2025</t>
  </si>
  <si>
    <t>MOHAMED RAFEEQ</t>
  </si>
  <si>
    <t>GOPAKUMAR</t>
  </si>
  <si>
    <t>DILSHANA JAFFER</t>
  </si>
  <si>
    <t>MAY</t>
  </si>
  <si>
    <t>SAJI THOMAS</t>
  </si>
  <si>
    <t>SANDEEP KURIYA</t>
  </si>
  <si>
    <t>ARUN RAJ</t>
  </si>
  <si>
    <t>ASHNA SHABEER</t>
  </si>
  <si>
    <t>NOUFAL K</t>
  </si>
  <si>
    <t>ANANDU REJIKUMAR</t>
  </si>
  <si>
    <t>SHAKKEER T V</t>
  </si>
  <si>
    <t>25-05-2025</t>
  </si>
  <si>
    <t>BEFORE JUL 10</t>
  </si>
  <si>
    <t>GAFFOOR</t>
  </si>
  <si>
    <t>VISHNU RAVEENDRAN KURUP</t>
  </si>
  <si>
    <t>JISHNU</t>
  </si>
  <si>
    <t>SHINE CHANDRAN</t>
  </si>
  <si>
    <t>No date given - Anuragh to update the date /no response</t>
  </si>
  <si>
    <t>MOHAMMED SHANU</t>
  </si>
  <si>
    <t>JOBIN JOSE</t>
  </si>
  <si>
    <t>PRAMOD R PAI</t>
  </si>
  <si>
    <t>JAFFER</t>
  </si>
  <si>
    <t>PRAVEEN K G</t>
  </si>
  <si>
    <t>SARATH CHANDRAN</t>
  </si>
  <si>
    <t>ABDUL RAZAK A T</t>
  </si>
  <si>
    <t>FAKRUDHEEN ALI AHAMED</t>
  </si>
  <si>
    <t>REQUESTED TO CHANGE BATCH</t>
  </si>
  <si>
    <t>VISHNU VIJESH P</t>
  </si>
  <si>
    <t>BIJU THOMAS</t>
  </si>
  <si>
    <t>PRASANTH KUMAR</t>
  </si>
  <si>
    <t>SURESH BABU</t>
  </si>
  <si>
    <t>13-05-2025</t>
  </si>
  <si>
    <t>MUSHBIR M P</t>
  </si>
  <si>
    <t>ADARSH RAJENDRAN</t>
  </si>
  <si>
    <t>14-05-2025</t>
  </si>
  <si>
    <t>ABID BIJU</t>
  </si>
  <si>
    <t>ARUN RAJU</t>
  </si>
  <si>
    <t>BATCH CHANGE REQUESTED</t>
  </si>
  <si>
    <t>15-05-2025</t>
  </si>
  <si>
    <t>AJEESH T MATHEW</t>
  </si>
  <si>
    <t>MUHAMMED SHAKKIR</t>
  </si>
  <si>
    <t>GL 20</t>
  </si>
  <si>
    <t>Hospital case</t>
  </si>
  <si>
    <t>ABHILASH NATH</t>
  </si>
  <si>
    <t>SUNIL KUMAR S L</t>
  </si>
  <si>
    <t>16-05-2025</t>
  </si>
  <si>
    <t>RIJU VARGHESE</t>
  </si>
  <si>
    <t>BATCH CHNAGE/DATE NOT CONFIRMED</t>
  </si>
  <si>
    <t>BRIJESH V K</t>
  </si>
  <si>
    <t>17-05-2025</t>
  </si>
  <si>
    <t>SAJEESH T T</t>
  </si>
  <si>
    <t>ONL 9</t>
  </si>
  <si>
    <t>4K</t>
  </si>
  <si>
    <t>JUNAID</t>
  </si>
  <si>
    <t>PRAJESH KP</t>
  </si>
  <si>
    <t>ASOKAKUMAR</t>
  </si>
  <si>
    <t>18-05-2025</t>
  </si>
  <si>
    <t>SUBHASH. K</t>
  </si>
  <si>
    <t>MUHAMMED ASIF V</t>
  </si>
  <si>
    <t>19-05-2025</t>
  </si>
  <si>
    <t>MUJEEB M K</t>
  </si>
  <si>
    <t>JUSTIN ANTONY</t>
  </si>
  <si>
    <t>USHA</t>
  </si>
  <si>
    <t>SIRAJUDHEEN</t>
  </si>
  <si>
    <t>financial issues 5k one week nn ullil adakkam</t>
  </si>
  <si>
    <t>SHAHUL HAMEED</t>
  </si>
  <si>
    <t>7 CLASSES</t>
  </si>
  <si>
    <t>ABDUSSALAM KODUVANGAD</t>
  </si>
  <si>
    <t>20-05-2025</t>
  </si>
  <si>
    <t>MUHAMMED MUHSIN</t>
  </si>
  <si>
    <t>JANSON THOMAS</t>
  </si>
  <si>
    <t>21-05-2025</t>
  </si>
  <si>
    <t>NISANTH K DINESH</t>
  </si>
  <si>
    <t>VISHNU PRASAD</t>
  </si>
  <si>
    <t>MINU DANIYA</t>
  </si>
  <si>
    <t>22-05-2025</t>
  </si>
  <si>
    <t>MAHESH R</t>
  </si>
  <si>
    <t>SONY MATHEW</t>
  </si>
  <si>
    <t>23-05-2025</t>
  </si>
  <si>
    <t>ABDUL SAMEER VALAPPIL</t>
  </si>
  <si>
    <t>SUFAIL</t>
  </si>
  <si>
    <t>24-05-2025</t>
  </si>
  <si>
    <t>ALI</t>
  </si>
  <si>
    <t>ANWAR KOMATH</t>
  </si>
  <si>
    <t>financial issues 6k one week nn ullil adakkam</t>
  </si>
  <si>
    <t>BAKKIR HUSSAIN</t>
  </si>
  <si>
    <t>BABISH CHANDRAN</t>
  </si>
  <si>
    <t>25-07-2025</t>
  </si>
  <si>
    <t>PAYMENT ON 1ST SEP [ 30.08.25]</t>
  </si>
  <si>
    <t>MUBASHIRA</t>
  </si>
  <si>
    <t>5k JULY last</t>
  </si>
  <si>
    <t>26-05-2025</t>
  </si>
  <si>
    <t>SIRAJ T A</t>
  </si>
  <si>
    <t>Demat account ith vare ready ayittilla, next class nte ann payment cheyyullu enn paranju</t>
  </si>
  <si>
    <t>SAJI</t>
  </si>
  <si>
    <t>VIPIN CHANDRAN</t>
  </si>
  <si>
    <t>ARUN MOHAN</t>
  </si>
  <si>
    <t>DIKSON VARGHESE T V</t>
  </si>
  <si>
    <t>5K 25-07-2025</t>
  </si>
  <si>
    <t>NAGEENA</t>
  </si>
  <si>
    <t>18TH JULY</t>
  </si>
  <si>
    <t>THOUFEEK B</t>
  </si>
  <si>
    <t>27-05-2025</t>
  </si>
  <si>
    <t>BABY PUNATHIL</t>
  </si>
  <si>
    <t>ABDUL HASHIR</t>
  </si>
  <si>
    <t>5K July 25 th</t>
  </si>
  <si>
    <t>ASWIN RAJ P R</t>
  </si>
  <si>
    <t>ABDUL RAZAQUE</t>
  </si>
  <si>
    <t>busy with work/exit action initiated/rejoin later</t>
  </si>
  <si>
    <t>AFREED</t>
  </si>
  <si>
    <t>AFTER 10. TH</t>
  </si>
  <si>
    <t>ABDUL LATHEEF</t>
  </si>
  <si>
    <t>28-05-2025</t>
  </si>
  <si>
    <t>VYSAKH C S</t>
  </si>
  <si>
    <t>30-05-2025</t>
  </si>
  <si>
    <t>AJMAL A S</t>
  </si>
  <si>
    <t>JUNE</t>
  </si>
  <si>
    <t>ABDU RAHMAN T</t>
  </si>
  <si>
    <t>31-05-2025</t>
  </si>
  <si>
    <t>FAHAD</t>
  </si>
  <si>
    <t>YAHYA SHABEER</t>
  </si>
  <si>
    <t>LIJO CHACKO</t>
  </si>
  <si>
    <t>date not conformed</t>
  </si>
  <si>
    <t>SHIHAB</t>
  </si>
  <si>
    <t>AYYOOB VADAKKE VEETTIL</t>
  </si>
  <si>
    <t>VISHNU O P</t>
  </si>
  <si>
    <t>busy with work for 1.5 month/exit action initiated/rejoin later</t>
  </si>
  <si>
    <t>JAYARAJAN T P</t>
  </si>
  <si>
    <t>5k next week</t>
  </si>
  <si>
    <t>no response</t>
  </si>
  <si>
    <t>JIJO KAVALAKKATT JOY</t>
  </si>
  <si>
    <t>SAMUEL KUTTY K M</t>
  </si>
  <si>
    <t>SEBASTIAN MATHEW</t>
  </si>
  <si>
    <t>BADAR A RAZAK</t>
  </si>
  <si>
    <t>PRAVEEN M S</t>
  </si>
  <si>
    <t>DINOOB KUMAR M P</t>
  </si>
  <si>
    <t>07-062025</t>
  </si>
  <si>
    <t>M T RAGHAVAN</t>
  </si>
  <si>
    <t>SAHLA</t>
  </si>
  <si>
    <t>15-06-2025</t>
  </si>
  <si>
    <t>MUHAMMAD ANZAR B</t>
  </si>
  <si>
    <t>payment full</t>
  </si>
  <si>
    <t>MANOJKUMAR C R</t>
  </si>
  <si>
    <t>JINU PHILIPOSE</t>
  </si>
  <si>
    <t>15 JUL / NO RESPONSE</t>
  </si>
  <si>
    <t>MUHAMMED SHANU</t>
  </si>
  <si>
    <t>before 28 th</t>
  </si>
  <si>
    <t>REJI ABRAHAM</t>
  </si>
  <si>
    <t>LEFT FROM GRP</t>
  </si>
  <si>
    <t>PRAVEEN P H</t>
  </si>
  <si>
    <t>ABOOBACKER IBNU ABDUL AZEEZ</t>
  </si>
  <si>
    <t>2,3 days will pay</t>
  </si>
  <si>
    <t>AMJATH</t>
  </si>
  <si>
    <t>10 JUL / NO RESPONSE</t>
  </si>
  <si>
    <t>MEEGAL MATHEW K</t>
  </si>
  <si>
    <t>JINEESH KANAKKOVIL</t>
  </si>
  <si>
    <t>5 JUL / NO RESPONSE</t>
  </si>
  <si>
    <t>NIKHIL ARIMBRA MOHANDAS</t>
  </si>
  <si>
    <t>5k pending</t>
  </si>
  <si>
    <t>REJI S</t>
  </si>
  <si>
    <t>NOT ATTENDING</t>
  </si>
  <si>
    <t>JAIN PHILIP</t>
  </si>
  <si>
    <t>RAJENDRAN PILLAI</t>
  </si>
  <si>
    <t>JOWHAR ASHRAF</t>
  </si>
  <si>
    <t>ANEESH ANAND</t>
  </si>
  <si>
    <t>LIVIN BALAN</t>
  </si>
  <si>
    <t>EXIT FROM BATCH</t>
  </si>
  <si>
    <t>JOSEPH GEORGE</t>
  </si>
  <si>
    <t>SUNIL KUMAR</t>
  </si>
  <si>
    <t>SHAJU THOMAS</t>
  </si>
  <si>
    <t>SAFEER P A</t>
  </si>
  <si>
    <t>PAYMENT ON 5TH SEP [30.08.25]</t>
  </si>
  <si>
    <t>SONU JOSEPH THOMAS</t>
  </si>
  <si>
    <t>RAKESH K</t>
  </si>
  <si>
    <t>JAYARAJ</t>
  </si>
  <si>
    <t>JIBIN P S</t>
  </si>
  <si>
    <t>SYAM O S</t>
  </si>
  <si>
    <t>MATHEWS P JOHN</t>
  </si>
  <si>
    <t>DEEPAK S KUMAR</t>
  </si>
  <si>
    <t>HARIS K</t>
  </si>
  <si>
    <t>no reply</t>
  </si>
  <si>
    <t>MOHAMMED ASHRAF</t>
  </si>
  <si>
    <t>SHAFI</t>
  </si>
  <si>
    <t>13-06-2025</t>
  </si>
  <si>
    <t>JAISON SYRIAC</t>
  </si>
  <si>
    <t>no date confirmed</t>
  </si>
  <si>
    <t>SAJEEV K</t>
  </si>
  <si>
    <t>MUHAMMAD BASHEER</t>
  </si>
  <si>
    <t>2000/- NEED FOREX</t>
  </si>
  <si>
    <t>ANOOP SANKARAMANGALAM</t>
  </si>
  <si>
    <t>14-06-2025</t>
  </si>
  <si>
    <t>AMAL MATHEW</t>
  </si>
  <si>
    <t>SAHAD KALLAKKAL</t>
  </si>
  <si>
    <t>AKHIL ANIL KUMAR</t>
  </si>
  <si>
    <t>ADIL RASHEED THOUSEEF</t>
  </si>
  <si>
    <t>ASWATHY M S</t>
  </si>
  <si>
    <t>MUHAMMED SHIYAS KUNNAN</t>
  </si>
  <si>
    <t>MUHAMMAD SALIH</t>
  </si>
  <si>
    <t>25-06-2025</t>
  </si>
  <si>
    <t>05-08-2025 / NO REPLY</t>
  </si>
  <si>
    <t>16-06-2025</t>
  </si>
  <si>
    <t>HANEEFA A A</t>
  </si>
  <si>
    <t>AJUKUMAR</t>
  </si>
  <si>
    <t>17-06-2025</t>
  </si>
  <si>
    <t>MUHAMMED ALI K M</t>
  </si>
  <si>
    <t>18-06-2025</t>
  </si>
  <si>
    <t>SAJEEV S</t>
  </si>
  <si>
    <t>19-06-2025</t>
  </si>
  <si>
    <t>ASHKAR M V</t>
  </si>
  <si>
    <t>BALAMURALIKRISHNAN</t>
  </si>
  <si>
    <t>ABDUNISAR</t>
  </si>
  <si>
    <t>10/08/25 SALARY</t>
  </si>
  <si>
    <t>21-06-2025</t>
  </si>
  <si>
    <t>BINOY FRANCIS</t>
  </si>
  <si>
    <t>22-06-2025</t>
  </si>
  <si>
    <t>AJAY RAJENDRAN</t>
  </si>
  <si>
    <t>AFSANA RASHEED</t>
  </si>
  <si>
    <t>02-08-2025 /</t>
  </si>
  <si>
    <t>MOHANAN K C</t>
  </si>
  <si>
    <t>NABEEL</t>
  </si>
  <si>
    <t>SAKEER C K</t>
  </si>
  <si>
    <t>HESSA HELEN S</t>
  </si>
  <si>
    <t>SPECIAL COURSE</t>
  </si>
  <si>
    <t>SPECIAL</t>
  </si>
  <si>
    <t>23-06-2025</t>
  </si>
  <si>
    <t>AJITH KUMAR</t>
  </si>
  <si>
    <t>24-06-2025</t>
  </si>
  <si>
    <t>REJIN M K</t>
  </si>
  <si>
    <t>SHINOJ K P</t>
  </si>
  <si>
    <t>31/07/25</t>
  </si>
  <si>
    <t>VARUN V V</t>
  </si>
  <si>
    <t>ASIYA P</t>
  </si>
  <si>
    <t>ROOPESH NEERANCHALIL</t>
  </si>
  <si>
    <t>ONL 11</t>
  </si>
  <si>
    <t>26-06-2025</t>
  </si>
  <si>
    <t>AJI JACOB</t>
  </si>
  <si>
    <t>SIMMY N MATHEW</t>
  </si>
  <si>
    <t>27-06-2025</t>
  </si>
  <si>
    <t>JAMSHEER</t>
  </si>
  <si>
    <t>SAJEEVAN</t>
  </si>
  <si>
    <t>05-08-2025 / BUSY CANT ATTEND CLS</t>
  </si>
  <si>
    <t>SANDHYAMOL A P</t>
  </si>
  <si>
    <t>28-06-2025</t>
  </si>
  <si>
    <t>HANEEFA</t>
  </si>
  <si>
    <t>29-06-2025</t>
  </si>
  <si>
    <t>SHEBU KUMAR R</t>
  </si>
  <si>
    <t>SHIBILI PARAKKAL</t>
  </si>
  <si>
    <t>30-06-2025</t>
  </si>
  <si>
    <t>BINU P</t>
  </si>
  <si>
    <t>31-07-2025 / BATCH CHANGE NEEDED</t>
  </si>
  <si>
    <t>PRAJEESH KUMAR</t>
  </si>
  <si>
    <t>NO DATE CONFIRMED</t>
  </si>
  <si>
    <t>ASNA K</t>
  </si>
  <si>
    <t>JULY</t>
  </si>
  <si>
    <t>ISHAK KUNHIPURAYIL</t>
  </si>
  <si>
    <t>ABDUL AZEES</t>
  </si>
  <si>
    <t>SREEKUMAR</t>
  </si>
  <si>
    <t>SHAJI FRANCIS</t>
  </si>
  <si>
    <t>DEEPAK VIDYAN</t>
  </si>
  <si>
    <t>RAKESH R S</t>
  </si>
  <si>
    <t>MINI NARAYANANKUTTY</t>
  </si>
  <si>
    <t>JOHN XAVIER</t>
  </si>
  <si>
    <t>AKHIL UNNIKRISHNAN</t>
  </si>
  <si>
    <t>ARUN CHANDROTH</t>
  </si>
  <si>
    <t>COMPLETED</t>
  </si>
  <si>
    <t>ANEESH P</t>
  </si>
  <si>
    <t>JASIR</t>
  </si>
  <si>
    <t>NOT INTERESTED IN CONTINUING</t>
  </si>
  <si>
    <t>VINEESH KUMAR</t>
  </si>
  <si>
    <t>ASHRAF IBRAHIM</t>
  </si>
  <si>
    <t>ANOOP V K</t>
  </si>
  <si>
    <t>IBIN ISSAC</t>
  </si>
  <si>
    <t>SATHEESH NAIR R</t>
  </si>
  <si>
    <t>RAFEEK K P</t>
  </si>
  <si>
    <t>TIME ISSUE / DEMAT ISSUE</t>
  </si>
  <si>
    <t>JOSHY JOY</t>
  </si>
  <si>
    <t>ONE MONTH NOT COMPLETED</t>
  </si>
  <si>
    <t>ANU THANKAM RAJAN</t>
  </si>
  <si>
    <t>NIZAR K</t>
  </si>
  <si>
    <t>BINU K A</t>
  </si>
  <si>
    <t>JIMIL V CHACKO</t>
  </si>
  <si>
    <t>JILJITH JOSEPH</t>
  </si>
  <si>
    <t>IGNATIOUS SAMUEL</t>
  </si>
  <si>
    <t>VARISH</t>
  </si>
  <si>
    <t>HEMA STEPHEN</t>
  </si>
  <si>
    <t>FAYIS</t>
  </si>
  <si>
    <t>SHAJI MON</t>
  </si>
  <si>
    <t>P SREEDHARAN</t>
  </si>
  <si>
    <t>ARCHANA PARVATHY</t>
  </si>
  <si>
    <t>SHAMNADU MON USMANKUNJU</t>
  </si>
  <si>
    <t>RENJITH MAMBRA</t>
  </si>
  <si>
    <t>SAJAN BABU</t>
  </si>
  <si>
    <t>SARATH KUMAR C K</t>
  </si>
  <si>
    <t>20-07-2025</t>
  </si>
  <si>
    <t>MUHAMAD MUSTHAFA</t>
  </si>
  <si>
    <t>PRASANTH KRISHNAN</t>
  </si>
  <si>
    <t>ANEESH LAL</t>
  </si>
  <si>
    <t>13-07-2025</t>
  </si>
  <si>
    <t>TIBU ALIYAS</t>
  </si>
  <si>
    <t>DENNIS P JOSE</t>
  </si>
  <si>
    <t>AKHIL MATHEW SUNNY</t>
  </si>
  <si>
    <t>NOT RESPONDING [ 30.08.25]</t>
  </si>
  <si>
    <t>JAIN JOHNSY</t>
  </si>
  <si>
    <t>DATE NOT CONFIRMED [ 30.08.25]</t>
  </si>
  <si>
    <t>14-07-2025</t>
  </si>
  <si>
    <t>MOHAMMED FAIZAL NALAKATH</t>
  </si>
  <si>
    <t>SAJEEV T K</t>
  </si>
  <si>
    <t>FUND ISSUE</t>
  </si>
  <si>
    <t>SATHEESH V</t>
  </si>
  <si>
    <t>SANTHI SREEKUMAR</t>
  </si>
  <si>
    <t>SEP 3RD OR 5 TH [ 30.08.25]</t>
  </si>
  <si>
    <t>CHAITHANYA</t>
  </si>
  <si>
    <t>AJAYA KUMAR</t>
  </si>
  <si>
    <t>16-07-2025</t>
  </si>
  <si>
    <t>FAISAL C B</t>
  </si>
  <si>
    <t>MUHAMMED SAHEER</t>
  </si>
  <si>
    <t>VINODH GEORGE</t>
  </si>
  <si>
    <t>PAYMENT CONFIRMED ON 1.09.25 [30.08.25]</t>
  </si>
  <si>
    <t>AJNAS ROSHAN J N</t>
  </si>
  <si>
    <t>NOT RESPONDING [30.08.25]</t>
  </si>
  <si>
    <t>CHANDRAN</t>
  </si>
  <si>
    <t>18-07-2025</t>
  </si>
  <si>
    <t>RANJITH GOPI</t>
  </si>
  <si>
    <t>SHAFEEKH K</t>
  </si>
  <si>
    <t>IRSHAD M</t>
  </si>
  <si>
    <t>19-07-2025</t>
  </si>
  <si>
    <t>SAM KUTTY B</t>
  </si>
  <si>
    <t>MANJUSH MADHAVA</t>
  </si>
  <si>
    <t>SABIR</t>
  </si>
  <si>
    <t>UNNIKRISHNAN S</t>
  </si>
  <si>
    <t>JINSHAD</t>
  </si>
  <si>
    <t>AMJITH</t>
  </si>
  <si>
    <t>AJISHKUMAR M</t>
  </si>
  <si>
    <t>SIBY C K</t>
  </si>
  <si>
    <t>21-07-2025</t>
  </si>
  <si>
    <t>SUNIL JOSEPH</t>
  </si>
  <si>
    <t>23-07-2025</t>
  </si>
  <si>
    <t>FIROS KHAN M T</t>
  </si>
  <si>
    <t>VISHNU M K</t>
  </si>
  <si>
    <t>24-07-2025</t>
  </si>
  <si>
    <t>NIKHIL SAJU</t>
  </si>
  <si>
    <t>MADHUSUDANAN M V</t>
  </si>
  <si>
    <t>PRASANTH</t>
  </si>
  <si>
    <t>SHIHABUDHEEN</t>
  </si>
  <si>
    <t>26-07-2025</t>
  </si>
  <si>
    <t>NISHAD N B</t>
  </si>
  <si>
    <t>SREEKUMAR C K</t>
  </si>
  <si>
    <t>ABDUL GAFFAR M</t>
  </si>
  <si>
    <t>NASARULLA T T</t>
  </si>
  <si>
    <t>27-07-2025</t>
  </si>
  <si>
    <t>HANAS VADEKERAN AZEES</t>
  </si>
  <si>
    <t>SREE SANKAR MANGHAT</t>
  </si>
  <si>
    <t>ANISH THOMAS</t>
  </si>
  <si>
    <t>KALESH SIVADASAN</t>
  </si>
  <si>
    <t>BASHEER KOYA</t>
  </si>
  <si>
    <t>28-07-2025</t>
  </si>
  <si>
    <t>AMALU JOSEPH</t>
  </si>
  <si>
    <t>OFF</t>
  </si>
  <si>
    <t>29-07-2025</t>
  </si>
  <si>
    <t>SHAMAL</t>
  </si>
  <si>
    <t>30-07-2025</t>
  </si>
  <si>
    <t>ARUN VIJAY</t>
  </si>
  <si>
    <t>31-07-2025</t>
  </si>
  <si>
    <t>MUHAMMED SHAHAN</t>
  </si>
  <si>
    <t>MUHAMMEDALI</t>
  </si>
  <si>
    <t>RESMI RAMESH (ARUN KUMAR)</t>
  </si>
  <si>
    <t>EBIN ALEX</t>
  </si>
  <si>
    <t>PAYMENT ON 10TH SEP [30.08.25]</t>
  </si>
  <si>
    <t>JESSEN GEORGE K</t>
  </si>
  <si>
    <t>DALAN XAVIER</t>
  </si>
  <si>
    <t>REJEESH SURENDRAN PILLAI</t>
  </si>
  <si>
    <t>NOUSHAD AHAMED</t>
  </si>
  <si>
    <t>no respones</t>
  </si>
  <si>
    <t>JINAD</t>
  </si>
  <si>
    <t>PAYMENT ON SEP 5TH [30.08.25]</t>
  </si>
  <si>
    <t>CHACKO VARUGHESE</t>
  </si>
  <si>
    <t>JAISAN VARGHESE</t>
  </si>
  <si>
    <t>not respones</t>
  </si>
  <si>
    <t>SUNU P THOMAS</t>
  </si>
  <si>
    <t>ABDUL NASAR</t>
  </si>
  <si>
    <t>HARISH K</t>
  </si>
  <si>
    <t>DELFIN JOSEPH</t>
  </si>
  <si>
    <t>ANOOP PU</t>
  </si>
  <si>
    <t>VINOD KUMAR KP</t>
  </si>
  <si>
    <t>SUNIL RAMAKRISHNAN</t>
  </si>
  <si>
    <t>SAJEER M</t>
  </si>
  <si>
    <t>LESLIN GEORGE</t>
  </si>
  <si>
    <t>FASALURAHMAN</t>
  </si>
  <si>
    <t>15-08-2025</t>
  </si>
  <si>
    <t>MUHAMMED MUSAVIR</t>
  </si>
  <si>
    <t>BINSHAD BACKER</t>
  </si>
  <si>
    <t>BALAMURUGAN</t>
  </si>
  <si>
    <t>MUHAMMAD IQBAL</t>
  </si>
  <si>
    <t>JACOB GEORGE</t>
  </si>
  <si>
    <t>MIDHUN PETER</t>
  </si>
  <si>
    <t>SURESH POYILIL</t>
  </si>
  <si>
    <t>MUHAMMED KOYA THANGAL VT</t>
  </si>
  <si>
    <t>KEVIN FREDY</t>
  </si>
  <si>
    <t>SANDEEP PK</t>
  </si>
  <si>
    <t>REEJA NISAM</t>
  </si>
  <si>
    <t>ASKING REFUND</t>
  </si>
  <si>
    <t>HASSAN RIZWAN</t>
  </si>
  <si>
    <t>ERSHAD K</t>
  </si>
  <si>
    <t>AJEESH</t>
  </si>
  <si>
    <t>17-08-2025</t>
  </si>
  <si>
    <t>MATHEWS MV</t>
  </si>
  <si>
    <t>ABILASH VELAYUDHAN</t>
  </si>
  <si>
    <t>ARIS K</t>
  </si>
  <si>
    <t>JISHA HRISHIKESH DAS</t>
  </si>
  <si>
    <t>FAYAZ MEHABOOB</t>
  </si>
  <si>
    <t>JAISAL</t>
  </si>
  <si>
    <t>MUHAMMED SADIQUE</t>
  </si>
  <si>
    <t>SABEELA EL</t>
  </si>
  <si>
    <t>ANSAB PV</t>
  </si>
  <si>
    <t>GL 21</t>
  </si>
  <si>
    <t>20-08-2025</t>
  </si>
  <si>
    <t>VARUN NELLERI</t>
  </si>
  <si>
    <t>16-08-2025</t>
  </si>
  <si>
    <t>TIBY G CHERIYAN</t>
  </si>
  <si>
    <t>ADIL MARVAN</t>
  </si>
  <si>
    <t>MASHESH PV</t>
  </si>
  <si>
    <t>18-08-2025</t>
  </si>
  <si>
    <t>JOHN MATHEW</t>
  </si>
  <si>
    <t>RASHID</t>
  </si>
  <si>
    <t>19-08-2025</t>
  </si>
  <si>
    <t>NIRSHAD</t>
  </si>
  <si>
    <t>MOHAMMED VATTAPPARA</t>
  </si>
  <si>
    <t>RIYAS BASHEER</t>
  </si>
  <si>
    <t>FAHID KOTTAYIL</t>
  </si>
  <si>
    <t>AJAMAL</t>
  </si>
  <si>
    <t>AMALA CHANDRAN</t>
  </si>
  <si>
    <t>MOHAMMED ARSHAD</t>
  </si>
  <si>
    <t>SHAMEER KM</t>
  </si>
  <si>
    <t>ABIN BABU</t>
  </si>
  <si>
    <t>21-08-2025</t>
  </si>
  <si>
    <t>AKHIL CS</t>
  </si>
  <si>
    <t>22-08- 2025</t>
  </si>
  <si>
    <t>SADIQ</t>
  </si>
  <si>
    <t>23-08-2025</t>
  </si>
  <si>
    <t>RAFEEQ</t>
  </si>
  <si>
    <t>24-08-2025</t>
  </si>
  <si>
    <t>SHABEER POKKAVIL</t>
  </si>
  <si>
    <t>NAZER KAPRAKKADAN</t>
  </si>
  <si>
    <t>KL 12</t>
  </si>
  <si>
    <t>NASRUDHEEN</t>
  </si>
  <si>
    <t>JASNEED ABDULLA</t>
  </si>
  <si>
    <t>25-08-2025</t>
  </si>
  <si>
    <t>26-08-2025</t>
  </si>
  <si>
    <t>JUNAID MV</t>
  </si>
  <si>
    <t>28-08-2025</t>
  </si>
  <si>
    <t>SOUMYA CS</t>
  </si>
  <si>
    <t>SHAM AM</t>
  </si>
  <si>
    <t>SEP</t>
  </si>
  <si>
    <t>JIJI SUDHARMAN</t>
  </si>
  <si>
    <t>SUJITH SUKUMARAN</t>
  </si>
  <si>
    <t>DON SEBASTIAN</t>
  </si>
  <si>
    <t>RAHEES K</t>
  </si>
  <si>
    <t>ADIL</t>
  </si>
  <si>
    <t>LUBABA FAZLA</t>
  </si>
  <si>
    <t>20-09-2025</t>
  </si>
  <si>
    <t>AMAR MALLAYI</t>
  </si>
  <si>
    <t>SUDHI SR</t>
  </si>
  <si>
    <t>13-09-2025</t>
  </si>
  <si>
    <t>ABY GEEVARGHESE</t>
  </si>
  <si>
    <t>MUHAMMED MUSTHAFA</t>
  </si>
  <si>
    <t>MOHAMED SHAFIK</t>
  </si>
  <si>
    <t>14-09-2025</t>
  </si>
  <si>
    <t>MANORAJ K.R</t>
  </si>
  <si>
    <t>15-09-2025</t>
  </si>
  <si>
    <t>MUHAMMED SAJID K</t>
  </si>
  <si>
    <t>PRAJITH M.P</t>
  </si>
  <si>
    <t>16-09-2025</t>
  </si>
  <si>
    <t>AFSAL TM</t>
  </si>
  <si>
    <t>BINEESH</t>
  </si>
  <si>
    <t>17-09-2025</t>
  </si>
  <si>
    <t>MUHAMMED SHAFI</t>
  </si>
  <si>
    <t>SHIJI ANNA</t>
  </si>
  <si>
    <t>18-09-2025</t>
  </si>
  <si>
    <t>JABIR.C</t>
  </si>
  <si>
    <t>4.00 PM ONLINE</t>
  </si>
  <si>
    <t>19-09-2025</t>
  </si>
  <si>
    <t>MOHAMMAD MASHOOD DK</t>
  </si>
  <si>
    <t>SINCHU BIJU</t>
  </si>
  <si>
    <t>JOMAN K JAMES</t>
  </si>
  <si>
    <t>SHAFEEQUE</t>
  </si>
  <si>
    <t>CLOSE WITH FULL PAYMENT ON 10TH OCT</t>
  </si>
  <si>
    <t>21-09-2025</t>
  </si>
  <si>
    <t>ANTO</t>
  </si>
  <si>
    <t>SUHAILUL AJNAS</t>
  </si>
  <si>
    <t>PRINCE JOSHUWA</t>
  </si>
  <si>
    <t>22-09-2025</t>
  </si>
  <si>
    <t>MUHAMMED RAHEEM</t>
  </si>
  <si>
    <t>23-09-2025</t>
  </si>
  <si>
    <t>AMAL BABU</t>
  </si>
  <si>
    <t>MUHAMMED NAHAS</t>
  </si>
  <si>
    <t>24-09-2025</t>
  </si>
  <si>
    <t>V.SREEDHARAN</t>
  </si>
  <si>
    <t>SEP LAST BALANCE 5000K</t>
  </si>
  <si>
    <t>ASHRAF KV</t>
  </si>
  <si>
    <t>MOHAMMED MUSTAFA</t>
  </si>
  <si>
    <t>ANOOP GOPINATHAN</t>
  </si>
  <si>
    <t>ANOOB .S</t>
  </si>
  <si>
    <t>25-09-205</t>
  </si>
  <si>
    <t>RAKHIL OTHIYIL</t>
  </si>
  <si>
    <t>Student Name</t>
  </si>
  <si>
    <t xml:space="preserve">Date </t>
  </si>
  <si>
    <t>joined month</t>
  </si>
  <si>
    <t>Mode of study</t>
  </si>
  <si>
    <t>Assigned Teacher</t>
  </si>
  <si>
    <t>Total Course Fees</t>
  </si>
  <si>
    <t>Paid Fees</t>
  </si>
  <si>
    <t>Pending Fees</t>
  </si>
  <si>
    <t>Batch</t>
  </si>
  <si>
    <t>Full payment</t>
  </si>
  <si>
    <t>Gender</t>
  </si>
  <si>
    <t>male</t>
  </si>
  <si>
    <t>female</t>
  </si>
  <si>
    <t>Course Started Month</t>
  </si>
  <si>
    <t>B3</t>
  </si>
  <si>
    <t>FASEELA</t>
  </si>
  <si>
    <t>B5</t>
  </si>
  <si>
    <t>B4</t>
  </si>
  <si>
    <t>B1</t>
  </si>
  <si>
    <t>B6</t>
  </si>
  <si>
    <t>B2</t>
  </si>
  <si>
    <t>Pending</t>
  </si>
  <si>
    <t>Payment Status</t>
  </si>
  <si>
    <t>Course</t>
  </si>
  <si>
    <t>Advisor</t>
  </si>
  <si>
    <t>Logistics</t>
  </si>
  <si>
    <t>Trading</t>
  </si>
  <si>
    <t>Digital Marketing</t>
  </si>
  <si>
    <t>Data Analyst</t>
  </si>
  <si>
    <t>Hospital Administration</t>
  </si>
  <si>
    <t>HR management</t>
  </si>
  <si>
    <t>Grand Total</t>
  </si>
  <si>
    <t>Count of Student Name</t>
  </si>
  <si>
    <t>Row Labels</t>
  </si>
  <si>
    <t>Jan</t>
  </si>
  <si>
    <t>Feb</t>
  </si>
  <si>
    <t>Mar</t>
  </si>
  <si>
    <t>Apr</t>
  </si>
  <si>
    <t>May</t>
  </si>
  <si>
    <t>Jun</t>
  </si>
  <si>
    <t>Jul</t>
  </si>
  <si>
    <t>Aug</t>
  </si>
  <si>
    <t>Sep</t>
  </si>
  <si>
    <t>Oct</t>
  </si>
  <si>
    <t>Nov</t>
  </si>
  <si>
    <t>Dec</t>
  </si>
  <si>
    <t>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</si>
</sst>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0"/>
      <color theme="1"/>
      <name val="Arial"/>
      <family val="2"/>
    </font>
    <font>
      <sz val="11"/>
      <color theme="1"/>
      <name val="Calibri"/>
      <family val="2"/>
    </font>
    <font>
      <sz val="10"/>
      <color rgb="FF5A3286"/>
      <name val="Arial"/>
      <family val="2"/>
    </font>
    <font>
      <b/>
      <sz val="10"/>
      <color theme="1"/>
      <name val="Arial"/>
      <family val="2"/>
    </font>
    <font>
      <sz val="10"/>
      <color rgb="FF0A53A8"/>
      <name val="Arial"/>
      <family val="2"/>
    </font>
    <font>
      <sz val="10"/>
      <color rgb="FFFFCFC9"/>
      <name val="Arial"/>
      <family val="2"/>
    </font>
    <font>
      <sz val="10"/>
      <color rgb="FFB10202"/>
      <name val="Arial"/>
      <family val="2"/>
    </font>
    <font>
      <sz val="10"/>
      <color rgb="FF11734B"/>
      <name val="Arial"/>
      <family val="2"/>
    </font>
    <font>
      <b/>
      <sz val="11"/>
      <color theme="1"/>
      <name val="Calibri"/>
      <family val="2"/>
      <scheme val="minor"/>
    </font>
    <font>
      <sz val="8"/>
      <name val="Calibri"/>
      <family val="2"/>
      <scheme val="minor"/>
    </font>
    <font>
      <sz val="48"/>
      <color theme="1"/>
      <name val="Calibri"/>
      <family val="2"/>
      <scheme val="minor"/>
    </font>
  </fonts>
  <fills count="15">
    <fill>
      <patternFill patternType="none"/>
    </fill>
    <fill>
      <patternFill patternType="gray125"/>
    </fill>
    <fill>
      <patternFill patternType="solid">
        <fgColor rgb="FF00FF00"/>
        <bgColor indexed="64"/>
      </patternFill>
    </fill>
    <fill>
      <patternFill patternType="solid">
        <fgColor rgb="FFFFFFFF"/>
        <bgColor indexed="64"/>
      </patternFill>
    </fill>
    <fill>
      <patternFill patternType="solid">
        <fgColor rgb="FFFFFF00"/>
        <bgColor indexed="64"/>
      </patternFill>
    </fill>
    <fill>
      <patternFill patternType="solid">
        <fgColor rgb="FFD5A6BD"/>
        <bgColor indexed="64"/>
      </patternFill>
    </fill>
    <fill>
      <patternFill patternType="solid">
        <fgColor rgb="FFE06666"/>
        <bgColor indexed="64"/>
      </patternFill>
    </fill>
    <fill>
      <patternFill patternType="solid">
        <fgColor rgb="FFFF0000"/>
        <bgColor indexed="64"/>
      </patternFill>
    </fill>
    <fill>
      <patternFill patternType="solid">
        <fgColor rgb="FFEA9999"/>
        <bgColor indexed="64"/>
      </patternFill>
    </fill>
    <fill>
      <patternFill patternType="solid">
        <fgColor rgb="FF00FFFF"/>
        <bgColor indexed="64"/>
      </patternFill>
    </fill>
    <fill>
      <patternFill patternType="solid">
        <fgColor rgb="FF34A853"/>
        <bgColor indexed="64"/>
      </patternFill>
    </fill>
    <fill>
      <patternFill patternType="solid">
        <fgColor rgb="FFFFE599"/>
        <bgColor indexed="64"/>
      </patternFill>
    </fill>
    <fill>
      <patternFill patternType="solid">
        <fgColor rgb="FFF9CB9C"/>
        <bgColor indexed="64"/>
      </patternFill>
    </fill>
    <fill>
      <patternFill patternType="solid">
        <fgColor rgb="FFF6B26B"/>
        <bgColor indexed="64"/>
      </patternFill>
    </fill>
    <fill>
      <patternFill patternType="solid">
        <fgColor theme="4" tint="0.79998168889431442"/>
        <bgColor theme="4" tint="0.79998168889431442"/>
      </patternFill>
    </fill>
  </fills>
  <borders count="5">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76">
    <xf numFmtId="0" fontId="0" fillId="0" borderId="0" xfId="0"/>
    <xf numFmtId="0" fontId="1" fillId="0" borderId="1" xfId="0" applyFont="1" applyBorder="1" applyAlignment="1">
      <alignment vertical="center"/>
    </xf>
    <xf numFmtId="0" fontId="1" fillId="0" borderId="1" xfId="0" applyFont="1" applyBorder="1" applyAlignment="1">
      <alignment horizontal="center" vertical="center"/>
    </xf>
    <xf numFmtId="0" fontId="1" fillId="0" borderId="1" xfId="0" applyFont="1" applyBorder="1" applyAlignment="1">
      <alignment horizontal="center"/>
    </xf>
    <xf numFmtId="0" fontId="2" fillId="0" borderId="1" xfId="0" applyFont="1" applyBorder="1"/>
    <xf numFmtId="0" fontId="1" fillId="0" borderId="1" xfId="0" applyFont="1" applyBorder="1"/>
    <xf numFmtId="0" fontId="1" fillId="0" borderId="1" xfId="0" applyFont="1" applyBorder="1" applyAlignment="1">
      <alignment horizontal="right"/>
    </xf>
    <xf numFmtId="0" fontId="1" fillId="2" borderId="1" xfId="0" applyFont="1" applyFill="1" applyBorder="1" applyAlignment="1">
      <alignment horizontal="right"/>
    </xf>
    <xf numFmtId="0" fontId="1" fillId="3" borderId="1" xfId="0" applyFont="1" applyFill="1" applyBorder="1" applyAlignment="1">
      <alignment horizontal="center"/>
    </xf>
    <xf numFmtId="14" fontId="1" fillId="0" borderId="1" xfId="0" applyNumberFormat="1" applyFont="1" applyBorder="1" applyAlignment="1">
      <alignment horizontal="center"/>
    </xf>
    <xf numFmtId="0" fontId="1" fillId="3" borderId="1" xfId="0" applyFont="1" applyFill="1" applyBorder="1"/>
    <xf numFmtId="0" fontId="1" fillId="4" borderId="1" xfId="0" applyFont="1" applyFill="1" applyBorder="1" applyAlignment="1">
      <alignment horizontal="right"/>
    </xf>
    <xf numFmtId="14" fontId="1" fillId="0" borderId="1" xfId="0" applyNumberFormat="1" applyFont="1" applyBorder="1" applyAlignment="1">
      <alignment horizontal="center" vertical="center"/>
    </xf>
    <xf numFmtId="0" fontId="2" fillId="0" borderId="1" xfId="0" applyFont="1" applyBorder="1" applyAlignment="1">
      <alignment vertical="center"/>
    </xf>
    <xf numFmtId="3" fontId="1" fillId="0" borderId="1" xfId="0" applyNumberFormat="1" applyFont="1" applyBorder="1" applyAlignment="1">
      <alignment horizontal="right"/>
    </xf>
    <xf numFmtId="0" fontId="1" fillId="5" borderId="1" xfId="0" applyFont="1" applyFill="1" applyBorder="1" applyAlignment="1">
      <alignment horizontal="center"/>
    </xf>
    <xf numFmtId="0" fontId="2" fillId="5" borderId="1" xfId="0" applyFont="1" applyFill="1" applyBorder="1"/>
    <xf numFmtId="0" fontId="1" fillId="5" borderId="1" xfId="0" applyFont="1" applyFill="1" applyBorder="1" applyAlignment="1">
      <alignment horizontal="right"/>
    </xf>
    <xf numFmtId="0" fontId="1" fillId="5" borderId="1" xfId="0" applyFont="1" applyFill="1" applyBorder="1"/>
    <xf numFmtId="0" fontId="2" fillId="4" borderId="1" xfId="0" applyFont="1" applyFill="1" applyBorder="1"/>
    <xf numFmtId="0" fontId="1" fillId="4" borderId="1" xfId="0" applyFont="1" applyFill="1" applyBorder="1" applyAlignment="1">
      <alignment horizontal="center"/>
    </xf>
    <xf numFmtId="0" fontId="1" fillId="4" borderId="1" xfId="0" applyFont="1" applyFill="1" applyBorder="1"/>
    <xf numFmtId="14" fontId="1" fillId="4" borderId="1" xfId="0" applyNumberFormat="1" applyFont="1" applyFill="1" applyBorder="1" applyAlignment="1">
      <alignment horizontal="center"/>
    </xf>
    <xf numFmtId="0" fontId="3" fillId="0" borderId="1" xfId="0" applyFont="1" applyBorder="1"/>
    <xf numFmtId="0" fontId="1" fillId="3" borderId="1" xfId="0" applyFont="1" applyFill="1" applyBorder="1" applyAlignment="1">
      <alignment horizontal="right"/>
    </xf>
    <xf numFmtId="0" fontId="1" fillId="6" borderId="1" xfId="0" applyFont="1" applyFill="1" applyBorder="1" applyAlignment="1">
      <alignment horizontal="center"/>
    </xf>
    <xf numFmtId="0" fontId="2" fillId="6" borderId="1" xfId="0" applyFont="1" applyFill="1" applyBorder="1"/>
    <xf numFmtId="0" fontId="3" fillId="6" borderId="1" xfId="0" applyFont="1" applyFill="1" applyBorder="1"/>
    <xf numFmtId="0" fontId="1" fillId="6" borderId="1" xfId="0" applyFont="1" applyFill="1" applyBorder="1"/>
    <xf numFmtId="0" fontId="1" fillId="6" borderId="1" xfId="0" applyFont="1" applyFill="1" applyBorder="1" applyAlignment="1">
      <alignment horizontal="right"/>
    </xf>
    <xf numFmtId="0" fontId="5" fillId="0" borderId="1" xfId="0" applyFont="1" applyBorder="1"/>
    <xf numFmtId="0" fontId="2" fillId="7" borderId="1" xfId="0" applyFont="1" applyFill="1" applyBorder="1"/>
    <xf numFmtId="0" fontId="1" fillId="7" borderId="1" xfId="0" applyFont="1" applyFill="1" applyBorder="1"/>
    <xf numFmtId="16" fontId="1" fillId="0" borderId="1" xfId="0" applyNumberFormat="1" applyFont="1" applyBorder="1" applyAlignment="1">
      <alignment horizontal="right"/>
    </xf>
    <xf numFmtId="14" fontId="1" fillId="8" borderId="1" xfId="0" applyNumberFormat="1" applyFont="1" applyFill="1" applyBorder="1" applyAlignment="1">
      <alignment horizontal="center"/>
    </xf>
    <xf numFmtId="0" fontId="2" fillId="8" borderId="1" xfId="0" applyFont="1" applyFill="1" applyBorder="1"/>
    <xf numFmtId="0" fontId="5" fillId="8" borderId="1" xfId="0" applyFont="1" applyFill="1" applyBorder="1"/>
    <xf numFmtId="0" fontId="1" fillId="8" borderId="1" xfId="0" applyFont="1" applyFill="1" applyBorder="1" applyAlignment="1">
      <alignment horizontal="center"/>
    </xf>
    <xf numFmtId="0" fontId="1" fillId="8" borderId="1" xfId="0" applyFont="1" applyFill="1" applyBorder="1"/>
    <xf numFmtId="0" fontId="1" fillId="8" borderId="1" xfId="0" applyFont="1" applyFill="1" applyBorder="1" applyAlignment="1">
      <alignment horizontal="right"/>
    </xf>
    <xf numFmtId="0" fontId="1" fillId="7" borderId="1" xfId="0" applyFont="1" applyFill="1" applyBorder="1" applyAlignment="1">
      <alignment horizontal="center"/>
    </xf>
    <xf numFmtId="0" fontId="5" fillId="7" borderId="1" xfId="0" applyFont="1" applyFill="1" applyBorder="1"/>
    <xf numFmtId="0" fontId="1" fillId="7" borderId="1" xfId="0" applyFont="1" applyFill="1" applyBorder="1" applyAlignment="1">
      <alignment horizontal="right"/>
    </xf>
    <xf numFmtId="0" fontId="6" fillId="0" borderId="1" xfId="0" applyFont="1" applyBorder="1" applyAlignment="1">
      <alignment horizontal="center"/>
    </xf>
    <xf numFmtId="0" fontId="4" fillId="0" borderId="1" xfId="0" applyFont="1" applyBorder="1" applyAlignment="1">
      <alignment horizontal="center"/>
    </xf>
    <xf numFmtId="0" fontId="6" fillId="8" borderId="1" xfId="0" applyFont="1" applyFill="1" applyBorder="1" applyAlignment="1">
      <alignment horizontal="center"/>
    </xf>
    <xf numFmtId="0" fontId="7" fillId="0" borderId="1" xfId="0" applyFont="1" applyBorder="1"/>
    <xf numFmtId="0" fontId="7" fillId="0" borderId="1" xfId="0" applyFont="1" applyBorder="1" applyAlignment="1">
      <alignment horizontal="center"/>
    </xf>
    <xf numFmtId="0" fontId="1" fillId="9" borderId="1" xfId="0" applyFont="1" applyFill="1" applyBorder="1" applyAlignment="1">
      <alignment horizontal="right"/>
    </xf>
    <xf numFmtId="0" fontId="8" fillId="0" borderId="1" xfId="0" applyFont="1" applyBorder="1" applyAlignment="1">
      <alignment horizontal="center"/>
    </xf>
    <xf numFmtId="0" fontId="1" fillId="2" borderId="1" xfId="0" applyFont="1" applyFill="1" applyBorder="1"/>
    <xf numFmtId="0" fontId="2" fillId="10" borderId="1" xfId="0" applyFont="1" applyFill="1" applyBorder="1"/>
    <xf numFmtId="0" fontId="8" fillId="0" borderId="1" xfId="0" applyFont="1" applyBorder="1"/>
    <xf numFmtId="0" fontId="2" fillId="11" borderId="1" xfId="0" applyFont="1" applyFill="1" applyBorder="1"/>
    <xf numFmtId="14" fontId="1" fillId="0" borderId="1" xfId="0" applyNumberFormat="1" applyFont="1" applyBorder="1" applyAlignment="1">
      <alignment horizontal="right"/>
    </xf>
    <xf numFmtId="0" fontId="2" fillId="3" borderId="1" xfId="0" applyFont="1" applyFill="1" applyBorder="1"/>
    <xf numFmtId="0" fontId="1" fillId="12" borderId="1" xfId="0" applyFont="1" applyFill="1" applyBorder="1" applyAlignment="1">
      <alignment horizontal="center"/>
    </xf>
    <xf numFmtId="0" fontId="1" fillId="12" borderId="1" xfId="0" applyFont="1" applyFill="1" applyBorder="1"/>
    <xf numFmtId="0" fontId="8" fillId="12" borderId="1" xfId="0" applyFont="1" applyFill="1" applyBorder="1" applyAlignment="1">
      <alignment horizontal="center"/>
    </xf>
    <xf numFmtId="0" fontId="1" fillId="12" borderId="1" xfId="0" applyFont="1" applyFill="1" applyBorder="1" applyAlignment="1">
      <alignment horizontal="right"/>
    </xf>
    <xf numFmtId="0" fontId="1" fillId="13" borderId="1" xfId="0" applyFont="1" applyFill="1" applyBorder="1" applyAlignment="1">
      <alignment horizontal="center"/>
    </xf>
    <xf numFmtId="0" fontId="1" fillId="13" borderId="1" xfId="0" applyFont="1" applyFill="1" applyBorder="1"/>
    <xf numFmtId="0" fontId="7" fillId="13" borderId="1" xfId="0" applyFont="1" applyFill="1" applyBorder="1" applyAlignment="1">
      <alignment horizontal="center"/>
    </xf>
    <xf numFmtId="0" fontId="1" fillId="13" borderId="1" xfId="0" applyFont="1" applyFill="1" applyBorder="1" applyAlignment="1">
      <alignment horizontal="right"/>
    </xf>
    <xf numFmtId="0" fontId="1" fillId="0" borderId="2" xfId="0" applyFont="1" applyBorder="1" applyAlignment="1">
      <alignment horizontal="center"/>
    </xf>
    <xf numFmtId="0" fontId="1" fillId="0" borderId="2" xfId="0" applyFont="1" applyBorder="1"/>
    <xf numFmtId="0" fontId="8" fillId="0" borderId="2" xfId="0" applyFont="1" applyBorder="1" applyAlignment="1">
      <alignment horizontal="center"/>
    </xf>
    <xf numFmtId="0" fontId="1" fillId="0" borderId="2" xfId="0" applyFont="1" applyBorder="1" applyAlignment="1">
      <alignment horizontal="right"/>
    </xf>
    <xf numFmtId="14" fontId="0" fillId="0" borderId="0" xfId="0" applyNumberFormat="1"/>
    <xf numFmtId="0" fontId="0" fillId="0" borderId="0" xfId="0" applyAlignment="1">
      <alignment horizontal="left"/>
    </xf>
    <xf numFmtId="0" fontId="9" fillId="14" borderId="3" xfId="0" applyFont="1" applyFill="1" applyBorder="1"/>
    <xf numFmtId="0" fontId="9" fillId="14" borderId="4" xfId="0" applyFont="1" applyFill="1" applyBorder="1" applyAlignment="1">
      <alignment horizontal="left"/>
    </xf>
    <xf numFmtId="0" fontId="9" fillId="14" borderId="4" xfId="0" applyFont="1" applyFill="1" applyBorder="1"/>
    <xf numFmtId="0" fontId="0" fillId="0" borderId="0" xfId="0" pivotButton="1"/>
    <xf numFmtId="0" fontId="11" fillId="0" borderId="0" xfId="0" applyFont="1"/>
    <xf numFmtId="0" fontId="0" fillId="0" borderId="0" xfId="0" applyNumberFormat="1"/>
  </cellXfs>
  <cellStyles count="1">
    <cellStyle name="Normal" xfId="0" builtinId="0"/>
  </cellStyles>
  <dxfs count="2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font>
        <b val="0"/>
        <i val="0"/>
        <strike val="0"/>
        <condense val="0"/>
        <extend val="0"/>
        <outline val="0"/>
        <shadow val="0"/>
        <u val="none"/>
        <vertAlign val="baseline"/>
        <sz val="10"/>
        <color theme="1"/>
        <name val="Arial"/>
        <family val="2"/>
        <scheme val="none"/>
      </font>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B10202"/>
        <name val="Arial"/>
        <family val="2"/>
        <scheme val="none"/>
      </font>
      <alignment horizontal="center"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bottom style="medium">
          <color rgb="FFCCCCCC"/>
        </bottom>
      </border>
    </dxf>
    <dxf>
      <font>
        <b val="0"/>
        <i val="0"/>
        <strike val="0"/>
        <condense val="0"/>
        <extend val="0"/>
        <outline val="0"/>
        <shadow val="0"/>
        <u val="none"/>
        <vertAlign val="baseline"/>
        <sz val="10"/>
        <color theme="1"/>
        <name val="Arial"/>
        <family val="2"/>
        <scheme val="none"/>
      </font>
    </dxf>
  </dxfs>
  <tableStyles count="0" defaultTableStyle="TableStyleMedium2" defaultPivotStyle="PivotStyleLight16"/>
  <colors>
    <mruColors>
      <color rgb="FF40804E"/>
      <color rgb="FF368E51"/>
      <color rgb="FFFFD589"/>
      <color rgb="FFFFC154"/>
      <color rgb="FF47B39C"/>
      <color rgb="FFFFBC43"/>
      <color rgb="FFEC6B56"/>
      <color rgb="FF54A666"/>
      <color rgb="FF228B2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[Dashboard.xlsx]pivottable!PivotTable1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68E51"/>
          </a:solidFill>
          <a:ln w="19050">
            <a:solidFill>
              <a:schemeClr val="lt1"/>
            </a:solidFill>
          </a:ln>
          <a:effectLst/>
        </c:spPr>
        <c:dLbl>
          <c:idx val="0"/>
          <c:layout>
            <c:manualLayout>
              <c:x val="0.17314976401062934"/>
              <c:y val="-0.131111081614804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154"/>
          </a:solidFill>
          <a:ln w="19050">
            <a:solidFill>
              <a:schemeClr val="lt1"/>
            </a:solidFill>
          </a:ln>
          <a:effectLst/>
        </c:spPr>
        <c:dLbl>
          <c:idx val="0"/>
          <c:layout>
            <c:manualLayout>
              <c:x val="-5.2469625457766497E-2"/>
              <c:y val="0.11238092709840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pivottable!$B$3</c:f>
              <c:strCache>
                <c:ptCount val="1"/>
                <c:pt idx="0">
                  <c:v>Total</c:v>
                </c:pt>
              </c:strCache>
            </c:strRef>
          </c:tx>
          <c:dPt>
            <c:idx val="0"/>
            <c:bubble3D val="0"/>
            <c:spPr>
              <a:solidFill>
                <a:srgbClr val="368E51"/>
              </a:solidFill>
              <a:ln w="19050">
                <a:solidFill>
                  <a:schemeClr val="lt1"/>
                </a:solidFill>
              </a:ln>
              <a:effectLst/>
            </c:spPr>
            <c:extLst>
              <c:ext xmlns:c16="http://schemas.microsoft.com/office/drawing/2014/chart" uri="{C3380CC4-5D6E-409C-BE32-E72D297353CC}">
                <c16:uniqueId val="{00000001-C8AE-42F5-B2BC-CA5023909EB9}"/>
              </c:ext>
            </c:extLst>
          </c:dPt>
          <c:dPt>
            <c:idx val="1"/>
            <c:bubble3D val="0"/>
            <c:spPr>
              <a:solidFill>
                <a:srgbClr val="FFC154"/>
              </a:solidFill>
              <a:ln w="19050">
                <a:solidFill>
                  <a:schemeClr val="lt1"/>
                </a:solidFill>
              </a:ln>
              <a:effectLst/>
            </c:spPr>
            <c:extLst>
              <c:ext xmlns:c16="http://schemas.microsoft.com/office/drawing/2014/chart" uri="{C3380CC4-5D6E-409C-BE32-E72D297353CC}">
                <c16:uniqueId val="{00000003-C8AE-42F5-B2BC-CA5023909EB9}"/>
              </c:ext>
            </c:extLst>
          </c:dPt>
          <c:dLbls>
            <c:dLbl>
              <c:idx val="0"/>
              <c:layout>
                <c:manualLayout>
                  <c:x val="0.17314976401062934"/>
                  <c:y val="-0.131111081614804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8AE-42F5-B2BC-CA5023909EB9}"/>
                </c:ext>
              </c:extLst>
            </c:dLbl>
            <c:dLbl>
              <c:idx val="1"/>
              <c:layout>
                <c:manualLayout>
                  <c:x val="-5.2469625457766497E-2"/>
                  <c:y val="0.11238092709840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8AE-42F5-B2BC-CA5023909EB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pivottable!$A$4:$A$6</c:f>
              <c:strCache>
                <c:ptCount val="2"/>
                <c:pt idx="0">
                  <c:v>OFFLINE</c:v>
                </c:pt>
                <c:pt idx="1">
                  <c:v>ONLINE</c:v>
                </c:pt>
              </c:strCache>
            </c:strRef>
          </c:cat>
          <c:val>
            <c:numRef>
              <c:f>pivottable!$B$4:$B$6</c:f>
              <c:numCache>
                <c:formatCode>General</c:formatCode>
                <c:ptCount val="2"/>
                <c:pt idx="0">
                  <c:v>24</c:v>
                </c:pt>
                <c:pt idx="1">
                  <c:v>175</c:v>
                </c:pt>
              </c:numCache>
            </c:numRef>
          </c:val>
          <c:extLst>
            <c:ext xmlns:c16="http://schemas.microsoft.com/office/drawing/2014/chart" uri="{C3380CC4-5D6E-409C-BE32-E72D297353CC}">
              <c16:uniqueId val="{00000004-C8AE-42F5-B2BC-CA5023909EB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24045614987781694"/>
          <c:y val="0.52598315835520548"/>
          <c:w val="0.24230247081183817"/>
          <c:h val="0.114584426946631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1450">
          <a:schemeClr val="bg1"/>
        </a:gs>
        <a:gs pos="0">
          <a:schemeClr val="bg1"/>
        </a:gs>
        <a:gs pos="74000">
          <a:schemeClr val="accent4">
            <a:lumMod val="20000"/>
            <a:lumOff val="80000"/>
          </a:schemeClr>
        </a:gs>
        <a:gs pos="83000">
          <a:schemeClr val="accent6">
            <a:lumMod val="20000"/>
            <a:lumOff val="80000"/>
          </a:schemeClr>
        </a:gs>
        <a:gs pos="100000">
          <a:schemeClr val="bg1"/>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[Dashboard.xlsx]pivottable!PivotTable2</c:name>
    <c:fmtId val="1"/>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Admission</a:t>
            </a:r>
          </a:p>
        </c:rich>
      </c:tx>
      <c:layout>
        <c:manualLayout>
          <c:xMode val="edge"/>
          <c:yMode val="edge"/>
          <c:x val="0.39536019536019534"/>
          <c:y val="2.7816411682892908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cmpd="sng" algn="ctr">
            <a:solidFill>
              <a:srgbClr val="FFC154"/>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cmpd="sng" algn="ctr">
            <a:solidFill>
              <a:srgbClr val="FFD589">
                <a:alpha val="94000"/>
              </a:srgbClr>
            </a:solidFill>
            <a:round/>
          </a:ln>
          <a:effectLst/>
        </c:spPr>
        <c:marker>
          <c:symbol val="circle"/>
          <c:size val="4"/>
          <c:spPr>
            <a:solidFill>
              <a:schemeClr val="accent1"/>
            </a:solidFill>
            <a:ln w="9525" cap="flat" cmpd="sng" algn="ctr">
              <a:solidFill>
                <a:schemeClr val="accent1"/>
              </a:solidFill>
              <a:round/>
            </a:ln>
            <a:effectLst/>
          </c:spPr>
        </c:marker>
      </c:pivotFmt>
    </c:pivotFmts>
    <c:plotArea>
      <c:layout>
        <c:manualLayout>
          <c:layoutTarget val="inner"/>
          <c:xMode val="edge"/>
          <c:yMode val="edge"/>
          <c:x val="6.8730410519073461E-4"/>
          <c:y val="0.19007495558382306"/>
          <c:w val="0.93263034846072157"/>
          <c:h val="0.72774339085374595"/>
        </c:manualLayout>
      </c:layout>
      <c:lineChart>
        <c:grouping val="standard"/>
        <c:varyColors val="0"/>
        <c:ser>
          <c:idx val="0"/>
          <c:order val="0"/>
          <c:tx>
            <c:strRef>
              <c:f>pivottable!$N$13</c:f>
              <c:strCache>
                <c:ptCount val="1"/>
                <c:pt idx="0">
                  <c:v>Total</c:v>
                </c:pt>
              </c:strCache>
            </c:strRef>
          </c:tx>
          <c:spPr>
            <a:ln w="22225" cap="rnd" cmpd="sng" algn="ctr">
              <a:solidFill>
                <a:srgbClr val="FFC154"/>
              </a:solidFill>
              <a:round/>
            </a:ln>
            <a:effectLst/>
          </c:spPr>
          <c:marker>
            <c:symbol val="circle"/>
            <c:size val="4"/>
            <c:spPr>
              <a:solidFill>
                <a:schemeClr val="accent1"/>
              </a:solidFill>
              <a:ln w="9525" cap="flat" cmpd="sng" algn="ctr">
                <a:solidFill>
                  <a:schemeClr val="accent1"/>
                </a:solidFill>
                <a:round/>
              </a:ln>
              <a:effectLst/>
            </c:spPr>
          </c:marker>
          <c:dPt>
            <c:idx val="8"/>
            <c:marker>
              <c:symbol val="circle"/>
              <c:size val="4"/>
              <c:spPr>
                <a:solidFill>
                  <a:schemeClr val="accent1"/>
                </a:solidFill>
                <a:ln w="9525" cap="flat" cmpd="sng" algn="ctr">
                  <a:solidFill>
                    <a:schemeClr val="accent1"/>
                  </a:solidFill>
                  <a:round/>
                </a:ln>
                <a:effectLst/>
              </c:spPr>
            </c:marker>
            <c:bubble3D val="0"/>
            <c:spPr>
              <a:ln w="22225" cap="rnd" cmpd="sng" algn="ctr">
                <a:solidFill>
                  <a:srgbClr val="FFD589">
                    <a:alpha val="94000"/>
                  </a:srgbClr>
                </a:solidFill>
                <a:round/>
              </a:ln>
              <a:effectLst/>
            </c:spPr>
            <c:extLst>
              <c:ext xmlns:c16="http://schemas.microsoft.com/office/drawing/2014/chart" uri="{C3380CC4-5D6E-409C-BE32-E72D297353CC}">
                <c16:uniqueId val="{00000001-426B-4A3B-A970-1252B171A45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pivottable!$M$14:$M$26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pivottable!$N$14:$N$26</c:f>
              <c:numCache>
                <c:formatCode>General</c:formatCode>
                <c:ptCount val="12"/>
                <c:pt idx="0">
                  <c:v>22</c:v>
                </c:pt>
                <c:pt idx="1">
                  <c:v>41</c:v>
                </c:pt>
                <c:pt idx="2">
                  <c:v>53</c:v>
                </c:pt>
                <c:pt idx="3">
                  <c:v>5</c:v>
                </c:pt>
                <c:pt idx="4">
                  <c:v>4</c:v>
                </c:pt>
                <c:pt idx="5">
                  <c:v>4</c:v>
                </c:pt>
                <c:pt idx="6">
                  <c:v>13</c:v>
                </c:pt>
                <c:pt idx="7">
                  <c:v>3</c:v>
                </c:pt>
                <c:pt idx="8">
                  <c:v>5</c:v>
                </c:pt>
                <c:pt idx="9">
                  <c:v>15</c:v>
                </c:pt>
                <c:pt idx="10">
                  <c:v>10</c:v>
                </c:pt>
                <c:pt idx="11">
                  <c:v>24</c:v>
                </c:pt>
              </c:numCache>
            </c:numRef>
          </c:val>
          <c:smooth val="0"/>
          <c:extLst>
            <c:ext xmlns:c16="http://schemas.microsoft.com/office/drawing/2014/chart" uri="{C3380CC4-5D6E-409C-BE32-E72D297353CC}">
              <c16:uniqueId val="{00000000-D1B1-4F3E-9531-8C833F55A0C8}"/>
            </c:ext>
          </c:extLst>
        </c:ser>
        <c:dLbls>
          <c:dLblPos val="t"/>
          <c:showLegendKey val="0"/>
          <c:showVal val="1"/>
          <c:showCatName val="0"/>
          <c:showSerName val="0"/>
          <c:showPercent val="0"/>
          <c:showBubbleSize val="0"/>
        </c:dLbls>
        <c:marker val="1"/>
        <c:smooth val="0"/>
        <c:axId val="1887926175"/>
        <c:axId val="1887926655"/>
      </c:lineChart>
      <c:catAx>
        <c:axId val="1887926175"/>
        <c:scaling>
          <c:orientation val="minMax"/>
        </c:scaling>
        <c:delete val="0"/>
        <c:axPos val="b"/>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887926655"/>
        <c:crosses val="autoZero"/>
        <c:auto val="1"/>
        <c:lblAlgn val="ctr"/>
        <c:lblOffset val="100"/>
        <c:noMultiLvlLbl val="0"/>
      </c:catAx>
      <c:valAx>
        <c:axId val="1887926655"/>
        <c:scaling>
          <c:orientation val="minMax"/>
        </c:scaling>
        <c:delete val="1"/>
        <c:axPos val="l"/>
        <c:numFmt formatCode="General" sourceLinked="1"/>
        <c:majorTickMark val="out"/>
        <c:minorTickMark val="none"/>
        <c:tickLblPos val="nextTo"/>
        <c:crossAx val="1887926175"/>
        <c:crosses val="autoZero"/>
        <c:crossBetween val="between"/>
      </c:valAx>
      <c:spPr>
        <a:gradFill>
          <a:gsLst>
            <a:gs pos="31450">
              <a:schemeClr val="bg1"/>
            </a:gs>
            <a:gs pos="0">
              <a:schemeClr val="bg1"/>
            </a:gs>
            <a:gs pos="74000">
              <a:schemeClr val="accent4">
                <a:lumMod val="20000"/>
                <a:lumOff val="80000"/>
              </a:schemeClr>
            </a:gs>
            <a:gs pos="83000">
              <a:schemeClr val="accent6">
                <a:lumMod val="20000"/>
                <a:lumOff val="80000"/>
              </a:schemeClr>
            </a:gs>
            <a:gs pos="100000">
              <a:schemeClr val="bg1"/>
            </a:gs>
          </a:gsLst>
          <a:lin ang="54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1450">
          <a:schemeClr val="accent6">
            <a:lumMod val="20000"/>
            <a:lumOff val="80000"/>
          </a:schemeClr>
        </a:gs>
        <a:gs pos="0">
          <a:schemeClr val="bg1"/>
        </a:gs>
        <a:gs pos="74000">
          <a:schemeClr val="accent4">
            <a:lumMod val="20000"/>
            <a:lumOff val="80000"/>
          </a:schemeClr>
        </a:gs>
        <a:gs pos="83000">
          <a:schemeClr val="accent6">
            <a:lumMod val="20000"/>
            <a:lumOff val="80000"/>
          </a:schemeClr>
        </a:gs>
        <a:gs pos="100000">
          <a:schemeClr val="bg1"/>
        </a:gs>
      </a:gsLst>
      <a:lin ang="5400000" scaled="1"/>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Course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68E5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83275744437353E-2"/>
          <c:y val="0.15637054116529245"/>
          <c:w val="0.86045469551246778"/>
          <c:h val="0.7352091803332399"/>
        </c:manualLayout>
      </c:layout>
      <c:barChart>
        <c:barDir val="col"/>
        <c:grouping val="clustered"/>
        <c:varyColors val="0"/>
        <c:ser>
          <c:idx val="0"/>
          <c:order val="0"/>
          <c:tx>
            <c:strRef>
              <c:f>pivottable!$I$7</c:f>
              <c:strCache>
                <c:ptCount val="1"/>
                <c:pt idx="0">
                  <c:v>Total</c:v>
                </c:pt>
              </c:strCache>
            </c:strRef>
          </c:tx>
          <c:spPr>
            <a:solidFill>
              <a:srgbClr val="368E5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pivottable!$H$8:$H$14</c:f>
              <c:strCache>
                <c:ptCount val="6"/>
                <c:pt idx="0">
                  <c:v>Data Analyst</c:v>
                </c:pt>
                <c:pt idx="1">
                  <c:v>Digital Marketing</c:v>
                </c:pt>
                <c:pt idx="2">
                  <c:v>Hospital Administration</c:v>
                </c:pt>
                <c:pt idx="3">
                  <c:v>HR management</c:v>
                </c:pt>
                <c:pt idx="4">
                  <c:v>Logistics</c:v>
                </c:pt>
                <c:pt idx="5">
                  <c:v>Trading</c:v>
                </c:pt>
              </c:strCache>
            </c:strRef>
          </c:cat>
          <c:val>
            <c:numRef>
              <c:f>pivottable!$I$8:$I$14</c:f>
              <c:numCache>
                <c:formatCode>General</c:formatCode>
                <c:ptCount val="6"/>
                <c:pt idx="0">
                  <c:v>52</c:v>
                </c:pt>
                <c:pt idx="1">
                  <c:v>7</c:v>
                </c:pt>
                <c:pt idx="2">
                  <c:v>33</c:v>
                </c:pt>
                <c:pt idx="3">
                  <c:v>77</c:v>
                </c:pt>
                <c:pt idx="4">
                  <c:v>11</c:v>
                </c:pt>
                <c:pt idx="5">
                  <c:v>19</c:v>
                </c:pt>
              </c:numCache>
            </c:numRef>
          </c:val>
          <c:extLst>
            <c:ext xmlns:c16="http://schemas.microsoft.com/office/drawing/2014/chart" uri="{C3380CC4-5D6E-409C-BE32-E72D297353CC}">
              <c16:uniqueId val="{00000000-9741-4834-AACD-414F501924D9}"/>
            </c:ext>
          </c:extLst>
        </c:ser>
        <c:dLbls>
          <c:dLblPos val="outEnd"/>
          <c:showLegendKey val="0"/>
          <c:showVal val="1"/>
          <c:showCatName val="0"/>
          <c:showSerName val="0"/>
          <c:showPercent val="0"/>
          <c:showBubbleSize val="0"/>
        </c:dLbls>
        <c:gapWidth val="219"/>
        <c:overlap val="-27"/>
        <c:axId val="2121906623"/>
        <c:axId val="2121901343"/>
      </c:barChart>
      <c:catAx>
        <c:axId val="21219066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901343"/>
        <c:crosses val="autoZero"/>
        <c:auto val="1"/>
        <c:lblAlgn val="ctr"/>
        <c:lblOffset val="100"/>
        <c:noMultiLvlLbl val="0"/>
      </c:catAx>
      <c:valAx>
        <c:axId val="2121901343"/>
        <c:scaling>
          <c:orientation val="minMax"/>
          <c:max val="80"/>
        </c:scaling>
        <c:delete val="1"/>
        <c:axPos val="l"/>
        <c:numFmt formatCode="General" sourceLinked="1"/>
        <c:majorTickMark val="out"/>
        <c:minorTickMark val="none"/>
        <c:tickLblPos val="nextTo"/>
        <c:crossAx val="2121906623"/>
        <c:crosses val="autoZero"/>
        <c:crossBetween val="between"/>
        <c:majorUnit val="10"/>
      </c:valAx>
      <c:spPr>
        <a:gradFill>
          <a:gsLst>
            <a:gs pos="1399">
              <a:schemeClr val="bg1"/>
            </a:gs>
            <a:gs pos="9790">
              <a:schemeClr val="bg1">
                <a:lumMod val="95000"/>
              </a:schemeClr>
            </a:gs>
            <a:gs pos="31450">
              <a:schemeClr val="bg1"/>
            </a:gs>
            <a:gs pos="74000">
              <a:schemeClr val="accent4">
                <a:lumMod val="20000"/>
                <a:lumOff val="80000"/>
              </a:schemeClr>
            </a:gs>
            <a:gs pos="83000">
              <a:schemeClr val="accent4">
                <a:lumMod val="20000"/>
                <a:lumOff val="80000"/>
              </a:schemeClr>
            </a:gs>
            <a:gs pos="100000">
              <a:schemeClr val="bg1"/>
            </a:gs>
          </a:gsLst>
          <a:lin ang="54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1450">
          <a:schemeClr val="accent6">
            <a:lumMod val="20000"/>
            <a:lumOff val="80000"/>
          </a:schemeClr>
        </a:gs>
        <a:gs pos="0">
          <a:schemeClr val="bg1"/>
        </a:gs>
        <a:gs pos="74000">
          <a:schemeClr val="accent4">
            <a:lumMod val="20000"/>
            <a:lumOff val="80000"/>
          </a:schemeClr>
        </a:gs>
        <a:gs pos="83000">
          <a:schemeClr val="accent6">
            <a:lumMod val="20000"/>
            <a:lumOff val="80000"/>
          </a:schemeClr>
        </a:gs>
        <a:gs pos="100000">
          <a:schemeClr val="bg1"/>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Advisor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68E5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47472183025412"/>
          <c:y val="0.16565612678476632"/>
          <c:w val="0.81790507851521765"/>
          <c:h val="0.76271986408922954"/>
        </c:manualLayout>
      </c:layout>
      <c:barChart>
        <c:barDir val="bar"/>
        <c:grouping val="clustered"/>
        <c:varyColors val="0"/>
        <c:ser>
          <c:idx val="0"/>
          <c:order val="0"/>
          <c:tx>
            <c:strRef>
              <c:f>pivottable!$C$16</c:f>
              <c:strCache>
                <c:ptCount val="1"/>
                <c:pt idx="0">
                  <c:v>Total</c:v>
                </c:pt>
              </c:strCache>
            </c:strRef>
          </c:tx>
          <c:spPr>
            <a:solidFill>
              <a:srgbClr val="368E5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pivottable!$B$17:$B$21</c:f>
              <c:strCache>
                <c:ptCount val="4"/>
                <c:pt idx="0">
                  <c:v>FASEELA</c:v>
                </c:pt>
                <c:pt idx="1">
                  <c:v>FATHIMA</c:v>
                </c:pt>
                <c:pt idx="2">
                  <c:v>GEETHU</c:v>
                </c:pt>
                <c:pt idx="3">
                  <c:v>SOUMYA</c:v>
                </c:pt>
              </c:strCache>
            </c:strRef>
          </c:cat>
          <c:val>
            <c:numRef>
              <c:f>pivottable!$C$17:$C$21</c:f>
              <c:numCache>
                <c:formatCode>General</c:formatCode>
                <c:ptCount val="4"/>
                <c:pt idx="0">
                  <c:v>25</c:v>
                </c:pt>
                <c:pt idx="1">
                  <c:v>46</c:v>
                </c:pt>
                <c:pt idx="2">
                  <c:v>60</c:v>
                </c:pt>
                <c:pt idx="3">
                  <c:v>68</c:v>
                </c:pt>
              </c:numCache>
            </c:numRef>
          </c:val>
          <c:extLst>
            <c:ext xmlns:c16="http://schemas.microsoft.com/office/drawing/2014/chart" uri="{C3380CC4-5D6E-409C-BE32-E72D297353CC}">
              <c16:uniqueId val="{00000000-03AD-43B0-8AEA-F3403E7D9AA0}"/>
            </c:ext>
          </c:extLst>
        </c:ser>
        <c:dLbls>
          <c:showLegendKey val="0"/>
          <c:showVal val="0"/>
          <c:showCatName val="0"/>
          <c:showSerName val="0"/>
          <c:showPercent val="0"/>
          <c:showBubbleSize val="0"/>
        </c:dLbls>
        <c:gapWidth val="182"/>
        <c:axId val="1874250447"/>
        <c:axId val="1874268207"/>
      </c:barChart>
      <c:catAx>
        <c:axId val="18742504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268207"/>
        <c:crosses val="autoZero"/>
        <c:auto val="1"/>
        <c:lblAlgn val="ctr"/>
        <c:lblOffset val="100"/>
        <c:noMultiLvlLbl val="0"/>
      </c:catAx>
      <c:valAx>
        <c:axId val="187426820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250447"/>
        <c:crosses val="autoZero"/>
        <c:crossBetween val="between"/>
      </c:valAx>
      <c:spPr>
        <a:gradFill>
          <a:gsLst>
            <a:gs pos="31450">
              <a:schemeClr val="accent6">
                <a:lumMod val="20000"/>
                <a:lumOff val="80000"/>
              </a:schemeClr>
            </a:gs>
            <a:gs pos="0">
              <a:schemeClr val="bg1"/>
            </a:gs>
            <a:gs pos="74000">
              <a:schemeClr val="bg1"/>
            </a:gs>
            <a:gs pos="83000">
              <a:schemeClr val="bg1">
                <a:lumMod val="95000"/>
              </a:schemeClr>
            </a:gs>
            <a:gs pos="100000">
              <a:schemeClr val="bg1"/>
            </a:gs>
          </a:gsLst>
          <a:lin ang="54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1450">
          <a:schemeClr val="accent6">
            <a:lumMod val="20000"/>
            <a:lumOff val="80000"/>
          </a:schemeClr>
        </a:gs>
        <a:gs pos="0">
          <a:schemeClr val="bg1"/>
        </a:gs>
        <a:gs pos="74000">
          <a:schemeClr val="accent6">
            <a:lumMod val="20000"/>
            <a:lumOff val="80000"/>
          </a:schemeClr>
        </a:gs>
        <a:gs pos="83000">
          <a:schemeClr val="accent4">
            <a:lumMod val="20000"/>
            <a:lumOff val="80000"/>
          </a:schemeClr>
        </a:gs>
        <a:gs pos="100000">
          <a:schemeClr val="bg1"/>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Payment</a:t>
            </a:r>
            <a:r>
              <a:rPr lang="en-IN" baseline="0"/>
              <a:t>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FFC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C154"/>
          </a:solidFill>
          <a:ln w="19050">
            <a:solidFill>
              <a:schemeClr val="lt1"/>
            </a:solidFill>
          </a:ln>
          <a:effectLst/>
        </c:spPr>
      </c:pivotFmt>
      <c:pivotFmt>
        <c:idx val="6"/>
        <c:spPr>
          <a:solidFill>
            <a:srgbClr val="368E51"/>
          </a:solidFill>
          <a:ln w="19050">
            <a:solidFill>
              <a:schemeClr val="lt1"/>
            </a:solidFill>
          </a:ln>
          <a:effectLst/>
        </c:spPr>
      </c:pivotFmt>
    </c:pivotFmts>
    <c:plotArea>
      <c:layout/>
      <c:pieChart>
        <c:varyColors val="1"/>
        <c:ser>
          <c:idx val="0"/>
          <c:order val="0"/>
          <c:tx>
            <c:strRef>
              <c:f>pivottable!$I$19</c:f>
              <c:strCache>
                <c:ptCount val="1"/>
                <c:pt idx="0">
                  <c:v>Total</c:v>
                </c:pt>
              </c:strCache>
            </c:strRef>
          </c:tx>
          <c:spPr>
            <a:solidFill>
              <a:srgbClr val="FFC000"/>
            </a:solidFill>
          </c:spPr>
          <c:dPt>
            <c:idx val="0"/>
            <c:bubble3D val="0"/>
            <c:spPr>
              <a:solidFill>
                <a:srgbClr val="FFC154"/>
              </a:solidFill>
              <a:ln w="19050">
                <a:solidFill>
                  <a:schemeClr val="lt1"/>
                </a:solidFill>
              </a:ln>
              <a:effectLst/>
            </c:spPr>
            <c:extLst>
              <c:ext xmlns:c16="http://schemas.microsoft.com/office/drawing/2014/chart" uri="{C3380CC4-5D6E-409C-BE32-E72D297353CC}">
                <c16:uniqueId val="{00000001-362E-4991-9CB1-DA5E78752A9E}"/>
              </c:ext>
            </c:extLst>
          </c:dPt>
          <c:dPt>
            <c:idx val="1"/>
            <c:bubble3D val="0"/>
            <c:spPr>
              <a:solidFill>
                <a:srgbClr val="368E51"/>
              </a:solidFill>
              <a:ln w="19050">
                <a:solidFill>
                  <a:schemeClr val="lt1"/>
                </a:solidFill>
              </a:ln>
              <a:effectLst/>
            </c:spPr>
            <c:extLst>
              <c:ext xmlns:c16="http://schemas.microsoft.com/office/drawing/2014/chart" uri="{C3380CC4-5D6E-409C-BE32-E72D297353CC}">
                <c16:uniqueId val="{00000003-362E-4991-9CB1-DA5E78752A9E}"/>
              </c:ext>
            </c:extLst>
          </c:dPt>
          <c:cat>
            <c:strRef>
              <c:f>pivottable!$H$20:$H$22</c:f>
              <c:strCache>
                <c:ptCount val="2"/>
                <c:pt idx="0">
                  <c:v>NO</c:v>
                </c:pt>
                <c:pt idx="1">
                  <c:v>YES</c:v>
                </c:pt>
              </c:strCache>
            </c:strRef>
          </c:cat>
          <c:val>
            <c:numRef>
              <c:f>pivottable!$I$20:$I$22</c:f>
              <c:numCache>
                <c:formatCode>General</c:formatCode>
                <c:ptCount val="2"/>
                <c:pt idx="0">
                  <c:v>91</c:v>
                </c:pt>
                <c:pt idx="1">
                  <c:v>108</c:v>
                </c:pt>
              </c:numCache>
            </c:numRef>
          </c:val>
          <c:extLst>
            <c:ext xmlns:c16="http://schemas.microsoft.com/office/drawing/2014/chart" uri="{C3380CC4-5D6E-409C-BE32-E72D297353CC}">
              <c16:uniqueId val="{00000004-362E-4991-9CB1-DA5E78752A9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1450">
          <a:schemeClr val="bg1"/>
        </a:gs>
        <a:gs pos="0">
          <a:schemeClr val="bg1"/>
        </a:gs>
        <a:gs pos="74000">
          <a:schemeClr val="accent4">
            <a:lumMod val="20000"/>
            <a:lumOff val="80000"/>
          </a:schemeClr>
        </a:gs>
        <a:gs pos="83000">
          <a:schemeClr val="accent6">
            <a:lumMod val="20000"/>
            <a:lumOff val="80000"/>
          </a:schemeClr>
        </a:gs>
        <a:gs pos="100000">
          <a:schemeClr val="bg1"/>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441986</xdr:colOff>
      <xdr:row>10</xdr:row>
      <xdr:rowOff>14113</xdr:rowOff>
    </xdr:from>
    <xdr:to>
      <xdr:col>5</xdr:col>
      <xdr:colOff>223761</xdr:colOff>
      <xdr:row>28</xdr:row>
      <xdr:rowOff>13368</xdr:rowOff>
    </xdr:to>
    <xdr:graphicFrame macro="">
      <xdr:nvGraphicFramePr>
        <xdr:cNvPr id="2" name="Chart 1">
          <a:extLst>
            <a:ext uri="{FF2B5EF4-FFF2-40B4-BE49-F238E27FC236}">
              <a16:creationId xmlns:a16="http://schemas.microsoft.com/office/drawing/2014/main" id="{71BB8368-FE10-3BF4-07E0-23ACA06428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287866</xdr:colOff>
      <xdr:row>10</xdr:row>
      <xdr:rowOff>27093</xdr:rowOff>
    </xdr:from>
    <xdr:to>
      <xdr:col>12</xdr:col>
      <xdr:colOff>176953</xdr:colOff>
      <xdr:row>28</xdr:row>
      <xdr:rowOff>0</xdr:rowOff>
    </xdr:to>
    <xdr:graphicFrame macro="">
      <xdr:nvGraphicFramePr>
        <xdr:cNvPr id="3" name="Chart 1">
          <a:extLst>
            <a:ext uri="{FF2B5EF4-FFF2-40B4-BE49-F238E27FC236}">
              <a16:creationId xmlns:a16="http://schemas.microsoft.com/office/drawing/2014/main" id="{1508397B-E677-E49A-7690-29EDE1D7AB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501054</xdr:colOff>
      <xdr:row>4</xdr:row>
      <xdr:rowOff>56444</xdr:rowOff>
    </xdr:from>
    <xdr:to>
      <xdr:col>3</xdr:col>
      <xdr:colOff>501054</xdr:colOff>
      <xdr:row>9</xdr:row>
      <xdr:rowOff>125401</xdr:rowOff>
    </xdr:to>
    <mc:AlternateContent xmlns:mc="http://schemas.openxmlformats.org/markup-compatibility/2006" xmlns:a14="http://schemas.microsoft.com/office/drawing/2010/main">
      <mc:Choice Requires="a14">
        <xdr:graphicFrame macro="">
          <xdr:nvGraphicFramePr>
            <xdr:cNvPr id="4" name="Mode of study">
              <a:extLst>
                <a:ext uri="{FF2B5EF4-FFF2-40B4-BE49-F238E27FC236}">
                  <a16:creationId xmlns:a16="http://schemas.microsoft.com/office/drawing/2014/main" id="{EFA94033-57C0-41BB-B655-ECBB595C1C5C}"/>
                </a:ext>
              </a:extLst>
            </xdr:cNvPr>
            <xdr:cNvGraphicFramePr/>
          </xdr:nvGraphicFramePr>
          <xdr:xfrm>
            <a:off x="0" y="0"/>
            <a:ext cx="0" cy="0"/>
          </xdr:xfrm>
          <a:graphic>
            <a:graphicData uri="http://schemas.microsoft.com/office/drawing/2010/slicer">
              <sle:slicer xmlns:sle="http://schemas.microsoft.com/office/drawing/2010/slicer" name="Mode of study"/>
            </a:graphicData>
          </a:graphic>
        </xdr:graphicFrame>
      </mc:Choice>
      <mc:Fallback xmlns="">
        <xdr:sp macro="" textlink="">
          <xdr:nvSpPr>
            <xdr:cNvPr id="0" name=""/>
            <xdr:cNvSpPr>
              <a:spLocks noTextEdit="1"/>
            </xdr:cNvSpPr>
          </xdr:nvSpPr>
          <xdr:spPr>
            <a:xfrm>
              <a:off x="501054" y="1362730"/>
              <a:ext cx="1836964" cy="9534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117383</xdr:colOff>
      <xdr:row>4</xdr:row>
      <xdr:rowOff>79738</xdr:rowOff>
    </xdr:from>
    <xdr:to>
      <xdr:col>13</xdr:col>
      <xdr:colOff>283153</xdr:colOff>
      <xdr:row>9</xdr:row>
      <xdr:rowOff>79738</xdr:rowOff>
    </xdr:to>
    <mc:AlternateContent xmlns:mc="http://schemas.openxmlformats.org/markup-compatibility/2006" xmlns:a14="http://schemas.microsoft.com/office/drawing/2010/main">
      <mc:Choice Requires="a14">
        <xdr:graphicFrame macro="">
          <xdr:nvGraphicFramePr>
            <xdr:cNvPr id="6" name="Course">
              <a:extLst>
                <a:ext uri="{FF2B5EF4-FFF2-40B4-BE49-F238E27FC236}">
                  <a16:creationId xmlns:a16="http://schemas.microsoft.com/office/drawing/2014/main" id="{3582B2DE-9255-4478-B029-C1FB6836BCB7}"/>
                </a:ext>
              </a:extLst>
            </xdr:cNvPr>
            <xdr:cNvGraphicFramePr/>
          </xdr:nvGraphicFramePr>
          <xdr:xfrm>
            <a:off x="0" y="0"/>
            <a:ext cx="0" cy="0"/>
          </xdr:xfrm>
          <a:graphic>
            <a:graphicData uri="http://schemas.microsoft.com/office/drawing/2010/slicer">
              <sle:slicer xmlns:sle="http://schemas.microsoft.com/office/drawing/2010/slicer" name="Course"/>
            </a:graphicData>
          </a:graphic>
        </xdr:graphicFrame>
      </mc:Choice>
      <mc:Fallback xmlns="">
        <xdr:sp macro="" textlink="">
          <xdr:nvSpPr>
            <xdr:cNvPr id="0" name=""/>
            <xdr:cNvSpPr>
              <a:spLocks noTextEdit="1"/>
            </xdr:cNvSpPr>
          </xdr:nvSpPr>
          <xdr:spPr>
            <a:xfrm>
              <a:off x="2566669" y="1386024"/>
              <a:ext cx="5690270" cy="8844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343346</xdr:colOff>
      <xdr:row>10</xdr:row>
      <xdr:rowOff>1693</xdr:rowOff>
    </xdr:from>
    <xdr:to>
      <xdr:col>22</xdr:col>
      <xdr:colOff>224692</xdr:colOff>
      <xdr:row>27</xdr:row>
      <xdr:rowOff>181630</xdr:rowOff>
    </xdr:to>
    <xdr:graphicFrame macro="">
      <xdr:nvGraphicFramePr>
        <xdr:cNvPr id="9" name="Chart 8">
          <a:extLst>
            <a:ext uri="{FF2B5EF4-FFF2-40B4-BE49-F238E27FC236}">
              <a16:creationId xmlns:a16="http://schemas.microsoft.com/office/drawing/2014/main" id="{783D1EED-E9FA-4969-9668-6833B6C749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405791</xdr:colOff>
      <xdr:row>28</xdr:row>
      <xdr:rowOff>118995</xdr:rowOff>
    </xdr:from>
    <xdr:to>
      <xdr:col>22</xdr:col>
      <xdr:colOff>253999</xdr:colOff>
      <xdr:row>46</xdr:row>
      <xdr:rowOff>43818</xdr:rowOff>
    </xdr:to>
    <xdr:graphicFrame macro="">
      <xdr:nvGraphicFramePr>
        <xdr:cNvPr id="10" name="Chart 9">
          <a:extLst>
            <a:ext uri="{FF2B5EF4-FFF2-40B4-BE49-F238E27FC236}">
              <a16:creationId xmlns:a16="http://schemas.microsoft.com/office/drawing/2014/main" id="{012D94D8-AC74-4091-85FB-CA0FEDE0DA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416537</xdr:colOff>
      <xdr:row>4</xdr:row>
      <xdr:rowOff>83187</xdr:rowOff>
    </xdr:from>
    <xdr:to>
      <xdr:col>22</xdr:col>
      <xdr:colOff>200527</xdr:colOff>
      <xdr:row>9</xdr:row>
      <xdr:rowOff>76881</xdr:rowOff>
    </xdr:to>
    <mc:AlternateContent xmlns:mc="http://schemas.openxmlformats.org/markup-compatibility/2006" xmlns:a14="http://schemas.microsoft.com/office/drawing/2010/main">
      <mc:Choice Requires="a14">
        <xdr:graphicFrame macro="">
          <xdr:nvGraphicFramePr>
            <xdr:cNvPr id="11" name="Batch">
              <a:extLst>
                <a:ext uri="{FF2B5EF4-FFF2-40B4-BE49-F238E27FC236}">
                  <a16:creationId xmlns:a16="http://schemas.microsoft.com/office/drawing/2014/main" id="{0DABD44C-B1F0-5C06-F578-FAD897BDFE77}"/>
                </a:ext>
              </a:extLst>
            </xdr:cNvPr>
            <xdr:cNvGraphicFramePr/>
          </xdr:nvGraphicFramePr>
          <xdr:xfrm>
            <a:off x="0" y="0"/>
            <a:ext cx="0" cy="0"/>
          </xdr:xfrm>
          <a:graphic>
            <a:graphicData uri="http://schemas.microsoft.com/office/drawing/2010/slicer">
              <sle:slicer xmlns:sle="http://schemas.microsoft.com/office/drawing/2010/slicer" name="Batch"/>
            </a:graphicData>
          </a:graphic>
        </xdr:graphicFrame>
      </mc:Choice>
      <mc:Fallback xmlns="">
        <xdr:sp macro="" textlink="">
          <xdr:nvSpPr>
            <xdr:cNvPr id="0" name=""/>
            <xdr:cNvSpPr>
              <a:spLocks noTextEdit="1"/>
            </xdr:cNvSpPr>
          </xdr:nvSpPr>
          <xdr:spPr>
            <a:xfrm>
              <a:off x="8390323" y="1389473"/>
              <a:ext cx="5294883" cy="8781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416940</xdr:colOff>
      <xdr:row>28</xdr:row>
      <xdr:rowOff>136625</xdr:rowOff>
    </xdr:from>
    <xdr:to>
      <xdr:col>10</xdr:col>
      <xdr:colOff>106948</xdr:colOff>
      <xdr:row>46</xdr:row>
      <xdr:rowOff>53474</xdr:rowOff>
    </xdr:to>
    <xdr:graphicFrame macro="">
      <xdr:nvGraphicFramePr>
        <xdr:cNvPr id="12" name="Chart 11">
          <a:extLst>
            <a:ext uri="{FF2B5EF4-FFF2-40B4-BE49-F238E27FC236}">
              <a16:creationId xmlns:a16="http://schemas.microsoft.com/office/drawing/2014/main" id="{742C420C-36C4-4A1D-A970-4E9C860D08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4</xdr:col>
      <xdr:colOff>312964</xdr:colOff>
      <xdr:row>1</xdr:row>
      <xdr:rowOff>276679</xdr:rowOff>
    </xdr:from>
    <xdr:ext cx="7824108" cy="780144"/>
    <xdr:sp macro="" textlink="">
      <xdr:nvSpPr>
        <xdr:cNvPr id="13" name="TextBox 12">
          <a:extLst>
            <a:ext uri="{FF2B5EF4-FFF2-40B4-BE49-F238E27FC236}">
              <a16:creationId xmlns:a16="http://schemas.microsoft.com/office/drawing/2014/main" id="{DF6C4A52-2E43-3EAD-7E9E-4E8DDF20811E}"/>
            </a:ext>
          </a:extLst>
        </xdr:cNvPr>
        <xdr:cNvSpPr txBox="1"/>
      </xdr:nvSpPr>
      <xdr:spPr>
        <a:xfrm>
          <a:off x="2762250" y="453572"/>
          <a:ext cx="7824108" cy="78014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4800">
              <a:solidFill>
                <a:srgbClr val="40804E"/>
              </a:solidFill>
              <a:latin typeface="Arial" panose="020B0604020202020204" pitchFamily="34" charset="0"/>
              <a:cs typeface="Arial" panose="020B0604020202020204" pitchFamily="34" charset="0"/>
            </a:rPr>
            <a:t>EDUCATION</a:t>
          </a:r>
          <a:r>
            <a:rPr lang="en-IN" sz="4800">
              <a:solidFill>
                <a:srgbClr val="368E51"/>
              </a:solidFill>
            </a:rPr>
            <a:t> </a:t>
          </a:r>
          <a:r>
            <a:rPr lang="en-IN" sz="4800">
              <a:solidFill>
                <a:srgbClr val="368E51"/>
              </a:solidFill>
              <a:latin typeface="Arial" panose="020B0604020202020204" pitchFamily="34" charset="0"/>
              <a:cs typeface="Arial" panose="020B0604020202020204" pitchFamily="34" charset="0"/>
            </a:rPr>
            <a:t>DASHBOARD</a:t>
          </a:r>
        </a:p>
      </xdr:txBody>
    </xdr:sp>
    <xdr:clientData/>
  </xdr:oneCellAnchor>
</xdr:wsDr>
</file>

<file path=xl/drawings/drawing2.xml><?xml version="1.0" encoding="utf-8"?>
<c:userShapes xmlns:c="http://schemas.openxmlformats.org/drawingml/2006/chart">
  <cdr:relSizeAnchor xmlns:cdr="http://schemas.openxmlformats.org/drawingml/2006/chartDrawing">
    <cdr:from>
      <cdr:x>0.75167</cdr:x>
      <cdr:y>0.17083</cdr:y>
    </cdr:from>
    <cdr:to>
      <cdr:x>0.91167</cdr:x>
      <cdr:y>0.34028</cdr:y>
    </cdr:to>
    <cdr:sp macro="" textlink="">
      <cdr:nvSpPr>
        <cdr:cNvPr id="2" name="TextBox 1">
          <a:extLst xmlns:a="http://schemas.openxmlformats.org/drawingml/2006/main">
            <a:ext uri="{FF2B5EF4-FFF2-40B4-BE49-F238E27FC236}">
              <a16:creationId xmlns:a16="http://schemas.microsoft.com/office/drawing/2014/main" id="{102465DF-F7A8-F76B-AC61-FEB1D9BE3A38}"/>
            </a:ext>
          </a:extLst>
        </cdr:cNvPr>
        <cdr:cNvSpPr txBox="1"/>
      </cdr:nvSpPr>
      <cdr:spPr>
        <a:xfrm xmlns:a="http://schemas.openxmlformats.org/drawingml/2006/main">
          <a:off x="3436620" y="468630"/>
          <a:ext cx="731520" cy="4648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0.4</cdr:x>
      <cdr:y>0.33333</cdr:y>
    </cdr:from>
    <cdr:to>
      <cdr:x>0.6</cdr:x>
      <cdr:y>0.66667</cdr:y>
    </cdr:to>
    <cdr:sp macro="" textlink="">
      <cdr:nvSpPr>
        <cdr:cNvPr id="3" name="TextBox 2">
          <a:extLst xmlns:a="http://schemas.openxmlformats.org/drawingml/2006/main">
            <a:ext uri="{FF2B5EF4-FFF2-40B4-BE49-F238E27FC236}">
              <a16:creationId xmlns:a16="http://schemas.microsoft.com/office/drawing/2014/main" id="{9416056F-AC34-81DD-68ED-566572A955C9}"/>
            </a:ext>
          </a:extLst>
        </cdr:cNvPr>
        <cdr:cNvSpPr txBox="1"/>
      </cdr:nvSpPr>
      <cdr:spPr>
        <a:xfrm xmlns:a="http://schemas.openxmlformats.org/drawingml/2006/main">
          <a:off x="1828800" y="914400"/>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0.71167</cdr:x>
      <cdr:y>0.3625</cdr:y>
    </cdr:from>
    <cdr:to>
      <cdr:x>1</cdr:x>
      <cdr:y>0.74306</cdr:y>
    </cdr:to>
    <cdr:sp macro="" textlink="pivottable!$E$6">
      <cdr:nvSpPr>
        <cdr:cNvPr id="4" name="TextBox 3">
          <a:extLst xmlns:a="http://schemas.openxmlformats.org/drawingml/2006/main">
            <a:ext uri="{FF2B5EF4-FFF2-40B4-BE49-F238E27FC236}">
              <a16:creationId xmlns:a16="http://schemas.microsoft.com/office/drawing/2014/main" id="{B25291B2-F8B7-E6F3-9473-0110D82758A1}"/>
            </a:ext>
          </a:extLst>
        </cdr:cNvPr>
        <cdr:cNvSpPr txBox="1"/>
      </cdr:nvSpPr>
      <cdr:spPr>
        <a:xfrm xmlns:a="http://schemas.openxmlformats.org/drawingml/2006/main">
          <a:off x="1729913" y="994410"/>
          <a:ext cx="700867" cy="104395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07293CBC-61E4-4872-AF19-8C622D97E842}" type="TxLink">
            <a:rPr lang="en-US" sz="900" b="1" i="0" u="none" strike="noStrike" kern="1200">
              <a:solidFill>
                <a:srgbClr val="000000"/>
              </a:solidFill>
              <a:latin typeface="Calibri"/>
              <a:ea typeface="Calibri"/>
              <a:cs typeface="Calibri"/>
            </a:rPr>
            <a:pPr/>
            <a:t>199</a:t>
          </a:fld>
          <a:endParaRPr lang="en-IN" sz="900" kern="1200"/>
        </a:p>
      </cdr:txBody>
    </cdr:sp>
  </cdr:relSizeAnchor>
  <cdr:relSizeAnchor xmlns:cdr="http://schemas.openxmlformats.org/drawingml/2006/chartDrawing">
    <cdr:from>
      <cdr:x>0.63407</cdr:x>
      <cdr:y>0.30972</cdr:y>
    </cdr:from>
    <cdr:to>
      <cdr:x>0.95268</cdr:x>
      <cdr:y>0.38194</cdr:y>
    </cdr:to>
    <cdr:sp macro="" textlink="">
      <cdr:nvSpPr>
        <cdr:cNvPr id="5" name="TextBox 4">
          <a:extLst xmlns:a="http://schemas.openxmlformats.org/drawingml/2006/main">
            <a:ext uri="{FF2B5EF4-FFF2-40B4-BE49-F238E27FC236}">
              <a16:creationId xmlns:a16="http://schemas.microsoft.com/office/drawing/2014/main" id="{DAA8E535-DA0D-1B42-6A55-EA01AE4A2217}"/>
            </a:ext>
          </a:extLst>
        </cdr:cNvPr>
        <cdr:cNvSpPr txBox="1"/>
      </cdr:nvSpPr>
      <cdr:spPr>
        <a:xfrm xmlns:a="http://schemas.openxmlformats.org/drawingml/2006/main">
          <a:off x="1531620" y="849630"/>
          <a:ext cx="769620" cy="1981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900" kern="1200"/>
            <a:t>Students</a:t>
          </a:r>
        </a:p>
      </cdr:txBody>
    </cdr:sp>
  </cdr:relSizeAnchor>
  <cdr:relSizeAnchor xmlns:cdr="http://schemas.openxmlformats.org/drawingml/2006/chartDrawing">
    <cdr:from>
      <cdr:x>0.65204</cdr:x>
      <cdr:y>0.42083</cdr:y>
    </cdr:from>
    <cdr:to>
      <cdr:x>0.97492</cdr:x>
      <cdr:y>0.76111</cdr:y>
    </cdr:to>
    <cdr:sp macro="" textlink="">
      <cdr:nvSpPr>
        <cdr:cNvPr id="6" name="TextBox 5">
          <a:extLst xmlns:a="http://schemas.openxmlformats.org/drawingml/2006/main">
            <a:ext uri="{FF2B5EF4-FFF2-40B4-BE49-F238E27FC236}">
              <a16:creationId xmlns:a16="http://schemas.microsoft.com/office/drawing/2014/main" id="{ECCB97CD-5C58-E4AF-7EC3-C1A729DAC6C5}"/>
            </a:ext>
          </a:extLst>
        </cdr:cNvPr>
        <cdr:cNvSpPr txBox="1"/>
      </cdr:nvSpPr>
      <cdr:spPr>
        <a:xfrm xmlns:a="http://schemas.openxmlformats.org/drawingml/2006/main">
          <a:off x="1584970" y="1154421"/>
          <a:ext cx="784850" cy="93345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900" kern="1200"/>
            <a:t>Offline</a:t>
          </a:r>
        </a:p>
      </cdr:txBody>
    </cdr:sp>
  </cdr:relSizeAnchor>
  <cdr:relSizeAnchor xmlns:cdr="http://schemas.openxmlformats.org/drawingml/2006/chartDrawing">
    <cdr:from>
      <cdr:x>0.31073</cdr:x>
      <cdr:y>0.33333</cdr:y>
    </cdr:from>
    <cdr:to>
      <cdr:x>0.68927</cdr:x>
      <cdr:y>0.66667</cdr:y>
    </cdr:to>
    <cdr:sp macro="" textlink="">
      <cdr:nvSpPr>
        <cdr:cNvPr id="7" name="TextBox 6">
          <a:extLst xmlns:a="http://schemas.openxmlformats.org/drawingml/2006/main">
            <a:ext uri="{FF2B5EF4-FFF2-40B4-BE49-F238E27FC236}">
              <a16:creationId xmlns:a16="http://schemas.microsoft.com/office/drawing/2014/main" id="{01F78975-2BCD-23B2-7F27-BAA9AE09E784}"/>
            </a:ext>
          </a:extLst>
        </cdr:cNvPr>
        <cdr:cNvSpPr txBox="1"/>
      </cdr:nvSpPr>
      <cdr:spPr>
        <a:xfrm xmlns:a="http://schemas.openxmlformats.org/drawingml/2006/main">
          <a:off x="750570" y="914400"/>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0.6183</cdr:x>
      <cdr:y>0.51806</cdr:y>
    </cdr:from>
    <cdr:to>
      <cdr:x>1</cdr:x>
      <cdr:y>0.92361</cdr:y>
    </cdr:to>
    <cdr:sp macro="" textlink="">
      <cdr:nvSpPr>
        <cdr:cNvPr id="8" name="TextBox 7">
          <a:extLst xmlns:a="http://schemas.openxmlformats.org/drawingml/2006/main">
            <a:ext uri="{FF2B5EF4-FFF2-40B4-BE49-F238E27FC236}">
              <a16:creationId xmlns:a16="http://schemas.microsoft.com/office/drawing/2014/main" id="{B2BD4090-FDA9-027F-67D3-16AA4FB5C836}"/>
            </a:ext>
          </a:extLst>
        </cdr:cNvPr>
        <cdr:cNvSpPr txBox="1"/>
      </cdr:nvSpPr>
      <cdr:spPr>
        <a:xfrm xmlns:a="http://schemas.openxmlformats.org/drawingml/2006/main">
          <a:off x="1493520" y="1421130"/>
          <a:ext cx="922020" cy="11125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0.31073</cdr:x>
      <cdr:y>0.33333</cdr:y>
    </cdr:from>
    <cdr:to>
      <cdr:x>0.68927</cdr:x>
      <cdr:y>0.66667</cdr:y>
    </cdr:to>
    <cdr:sp macro="" textlink="">
      <cdr:nvSpPr>
        <cdr:cNvPr id="9" name="TextBox 8">
          <a:extLst xmlns:a="http://schemas.openxmlformats.org/drawingml/2006/main">
            <a:ext uri="{FF2B5EF4-FFF2-40B4-BE49-F238E27FC236}">
              <a16:creationId xmlns:a16="http://schemas.microsoft.com/office/drawing/2014/main" id="{2DD9E6FA-A3D6-52D4-0B12-CD7E9E7D3B1E}"/>
            </a:ext>
          </a:extLst>
        </cdr:cNvPr>
        <cdr:cNvSpPr txBox="1"/>
      </cdr:nvSpPr>
      <cdr:spPr>
        <a:xfrm xmlns:a="http://schemas.openxmlformats.org/drawingml/2006/main">
          <a:off x="750570" y="914400"/>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0.71924</cdr:x>
      <cdr:y>0.48194</cdr:y>
    </cdr:from>
    <cdr:to>
      <cdr:x>0.9653</cdr:x>
      <cdr:y>0.82917</cdr:y>
    </cdr:to>
    <cdr:sp macro="" textlink="pivottable!$E$4">
      <cdr:nvSpPr>
        <cdr:cNvPr id="10" name="TextBox 9">
          <a:extLst xmlns:a="http://schemas.openxmlformats.org/drawingml/2006/main">
            <a:ext uri="{FF2B5EF4-FFF2-40B4-BE49-F238E27FC236}">
              <a16:creationId xmlns:a16="http://schemas.microsoft.com/office/drawing/2014/main" id="{D3C029DE-EDEB-3D39-C621-82C6647F5515}"/>
            </a:ext>
          </a:extLst>
        </cdr:cNvPr>
        <cdr:cNvSpPr txBox="1"/>
      </cdr:nvSpPr>
      <cdr:spPr>
        <a:xfrm xmlns:a="http://schemas.openxmlformats.org/drawingml/2006/main">
          <a:off x="1737360" y="1322070"/>
          <a:ext cx="594360" cy="9525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fld id="{E131DDAA-714B-4E94-AFAF-28FBB92C1543}" type="TxLink">
            <a:rPr lang="en-US" sz="900" b="1" i="0" u="none" strike="noStrike" kern="1200">
              <a:solidFill>
                <a:srgbClr val="000000"/>
              </a:solidFill>
              <a:latin typeface="Calibri"/>
              <a:ea typeface="Calibri"/>
              <a:cs typeface="Calibri"/>
            </a:rPr>
            <a:pPr/>
            <a:t>24</a:t>
          </a:fld>
          <a:endParaRPr lang="en-IN" sz="900" b="1" kern="1200"/>
        </a:p>
      </cdr:txBody>
    </cdr:sp>
  </cdr:relSizeAnchor>
  <cdr:relSizeAnchor xmlns:cdr="http://schemas.openxmlformats.org/drawingml/2006/chartDrawing">
    <cdr:from>
      <cdr:x>0.7066</cdr:x>
      <cdr:y>0.59306</cdr:y>
    </cdr:from>
    <cdr:to>
      <cdr:x>0.99051</cdr:x>
      <cdr:y>0.65972</cdr:y>
    </cdr:to>
    <cdr:sp macro="" textlink="pivottable!$E$5">
      <cdr:nvSpPr>
        <cdr:cNvPr id="11" name="TextBox 10">
          <a:extLst xmlns:a="http://schemas.openxmlformats.org/drawingml/2006/main">
            <a:ext uri="{FF2B5EF4-FFF2-40B4-BE49-F238E27FC236}">
              <a16:creationId xmlns:a16="http://schemas.microsoft.com/office/drawing/2014/main" id="{17923F92-FD58-17A4-88AE-BAC2CC78B043}"/>
            </a:ext>
          </a:extLst>
        </cdr:cNvPr>
        <cdr:cNvSpPr txBox="1"/>
      </cdr:nvSpPr>
      <cdr:spPr>
        <a:xfrm xmlns:a="http://schemas.openxmlformats.org/drawingml/2006/main">
          <a:off x="1717601" y="1626876"/>
          <a:ext cx="690123" cy="18286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fld id="{98CB2401-875E-48F6-82B1-E2B4329D88E8}" type="TxLink">
            <a:rPr lang="en-US" sz="900" b="1" i="0" u="none" strike="noStrike" kern="1200">
              <a:solidFill>
                <a:srgbClr val="000000"/>
              </a:solidFill>
              <a:latin typeface="Calibri"/>
              <a:ea typeface="Calibri"/>
              <a:cs typeface="Calibri"/>
            </a:rPr>
            <a:pPr/>
            <a:t>175</a:t>
          </a:fld>
          <a:endParaRPr lang="en-IN" sz="900" b="1" kern="1200"/>
        </a:p>
      </cdr:txBody>
    </cdr:sp>
  </cdr:relSizeAnchor>
  <cdr:relSizeAnchor xmlns:cdr="http://schemas.openxmlformats.org/drawingml/2006/chartDrawing">
    <cdr:from>
      <cdr:x>0.65907</cdr:x>
      <cdr:y>0.53473</cdr:y>
    </cdr:from>
    <cdr:to>
      <cdr:x>0.94357</cdr:x>
      <cdr:y>0.64861</cdr:y>
    </cdr:to>
    <cdr:sp macro="" textlink="">
      <cdr:nvSpPr>
        <cdr:cNvPr id="12" name="TextBox 11">
          <a:extLst xmlns:a="http://schemas.openxmlformats.org/drawingml/2006/main">
            <a:ext uri="{FF2B5EF4-FFF2-40B4-BE49-F238E27FC236}">
              <a16:creationId xmlns:a16="http://schemas.microsoft.com/office/drawing/2014/main" id="{88CAED60-3E04-13B8-42AC-9A84693C2C5B}"/>
            </a:ext>
          </a:extLst>
        </cdr:cNvPr>
        <cdr:cNvSpPr txBox="1"/>
      </cdr:nvSpPr>
      <cdr:spPr>
        <a:xfrm xmlns:a="http://schemas.openxmlformats.org/drawingml/2006/main">
          <a:off x="1602048" y="1466863"/>
          <a:ext cx="691572" cy="31240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900" kern="1200"/>
            <a:t>Online</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jad" refreshedDate="45927.695072800925" createdVersion="8" refreshedVersion="8" minRefreshableVersion="3" recordCount="199" xr:uid="{BD1AF890-BABA-4438-B04A-2E7F1BC41E77}">
  <cacheSource type="worksheet">
    <worksheetSource name="Table1_2"/>
  </cacheSource>
  <cacheFields count="15">
    <cacheField name="Date " numFmtId="14">
      <sharedItems containsSemiMixedTypes="0" containsNonDate="0" containsDate="1" containsString="0" minDate="2024-01-11T00:00:00" maxDate="2025-12-04T00:00:00" count="91">
        <d v="2024-01-11T00:00:00"/>
        <d v="2024-02-11T00:00:00"/>
        <d v="2024-05-12T00:00:00"/>
        <d v="2024-07-12T00:00:00"/>
        <d v="2024-09-11T00:00:00"/>
        <d v="2024-10-12T00:00:00"/>
        <d v="2024-11-12T00:00:00"/>
        <d v="2024-11-24T00:00:00"/>
        <d v="2024-11-30T00:00:00"/>
        <d v="2024-12-13T00:00:00"/>
        <d v="2024-12-14T00:00:00"/>
        <d v="2024-12-15T00:00:00"/>
        <d v="2024-12-16T00:00:00"/>
        <d v="2024-12-21T00:00:00"/>
        <d v="2024-12-23T00:00:00"/>
        <d v="2024-12-25T00:00:00"/>
        <d v="2024-12-26T00:00:00"/>
        <d v="2024-12-31T00:00:00"/>
        <d v="2025-01-01T00:00:00"/>
        <d v="2025-01-03T00:00:00"/>
        <d v="2025-01-04T00:00:00"/>
        <d v="2025-01-13T00:00:00"/>
        <d v="2025-01-15T00:00:00"/>
        <d v="2025-01-16T00:00:00"/>
        <d v="2025-01-17T00:00:00"/>
        <d v="2025-01-19T00:00:00"/>
        <d v="2025-01-20T00:00:00"/>
        <d v="2025-01-22T00:00:00"/>
        <d v="2025-01-27T00:00:00"/>
        <d v="2025-01-28T00:00:00"/>
        <d v="2025-01-29T00:00:00"/>
        <d v="2025-01-31T00:00:00"/>
        <d v="2025-02-01T00:00:00"/>
        <d v="2025-02-02T00:00:00"/>
        <d v="2025-02-04T00:00:00"/>
        <d v="2025-02-13T00:00:00"/>
        <d v="2025-02-14T00:00:00"/>
        <d v="2025-02-15T00:00:00"/>
        <d v="2025-02-16T00:00:00"/>
        <d v="2025-02-17T00:00:00"/>
        <d v="2025-02-18T00:00:00"/>
        <d v="2025-02-19T00:00:00"/>
        <d v="2025-02-20T00:00:00"/>
        <d v="2025-02-21T00:00:00"/>
        <d v="2025-02-22T00:00:00"/>
        <d v="2025-02-25T00:00:00"/>
        <d v="2025-02-26T00:00:00"/>
        <d v="2025-02-27T00:00:00"/>
        <d v="2025-02-28T00:00:00"/>
        <d v="2025-03-01T00:00:00"/>
        <d v="2025-03-02T00:00:00"/>
        <d v="2025-03-03T00:00:00"/>
        <d v="2025-03-04T00:00:00"/>
        <d v="2025-03-13T00:00:00"/>
        <d v="2025-03-14T00:00:00"/>
        <d v="2025-03-15T00:00:00"/>
        <d v="2025-03-16T00:00:00"/>
        <d v="2025-03-17T00:00:00"/>
        <d v="2025-03-18T00:00:00"/>
        <d v="2025-03-19T00:00:00"/>
        <d v="2025-03-20T00:00:00"/>
        <d v="2025-03-21T00:00:00"/>
        <d v="2025-03-22T00:00:00"/>
        <d v="2025-03-23T00:00:00"/>
        <d v="2025-03-25T00:00:00"/>
        <d v="2025-03-26T00:00:00"/>
        <d v="2025-03-27T00:00:00"/>
        <d v="2025-03-28T00:00:00"/>
        <d v="2025-03-29T00:00:00"/>
        <d v="2025-04-01T00:00:00"/>
        <d v="2025-04-02T00:00:00"/>
        <d v="2025-04-03T00:00:00"/>
        <d v="2025-05-02T00:00:00"/>
        <d v="2025-05-03T00:00:00"/>
        <d v="2025-06-02T00:00:00"/>
        <d v="2025-06-03T00:00:00"/>
        <d v="2025-07-01T00:00:00"/>
        <d v="2025-07-02T00:00:00"/>
        <d v="2025-07-03T00:00:00"/>
        <d v="2025-08-02T00:00:00"/>
        <d v="2025-08-03T00:00:00"/>
        <d v="2025-09-01T00:00:00"/>
        <d v="2025-09-02T00:00:00"/>
        <d v="2025-09-03T00:00:00"/>
        <d v="2025-10-01T00:00:00"/>
        <d v="2025-10-02T00:00:00"/>
        <d v="2025-10-03T00:00:00"/>
        <d v="2025-11-02T00:00:00"/>
        <d v="2025-11-03T00:00:00"/>
        <d v="2025-12-02T00:00:00"/>
        <d v="2025-12-03T00:00:00"/>
      </sharedItems>
      <fieldGroup par="14"/>
    </cacheField>
    <cacheField name="Student Name" numFmtId="0">
      <sharedItems/>
    </cacheField>
    <cacheField name="Gender" numFmtId="0">
      <sharedItems count="2">
        <s v="male"/>
        <s v="female"/>
      </sharedItems>
    </cacheField>
    <cacheField name="Course" numFmtId="0">
      <sharedItems count="6">
        <s v="Logistics"/>
        <s v="Trading"/>
        <s v="Digital Marketing"/>
        <s v="Data Analyst"/>
        <s v="Hospital Administration"/>
        <s v="HR management"/>
      </sharedItems>
    </cacheField>
    <cacheField name="Course Started Month" numFmtId="0">
      <sharedItems/>
    </cacheField>
    <cacheField name="Mode of study" numFmtId="0">
      <sharedItems count="2">
        <s v="OFFLINE"/>
        <s v="ONLINE"/>
      </sharedItems>
    </cacheField>
    <cacheField name="Batch" numFmtId="0">
      <sharedItems count="6">
        <s v="B3"/>
        <s v="B5"/>
        <s v="B4"/>
        <s v="B1"/>
        <s v="B6"/>
        <s v="B2"/>
      </sharedItems>
    </cacheField>
    <cacheField name="Advisor" numFmtId="0">
      <sharedItems count="4">
        <s v="FASEELA"/>
        <s v="FATHIMA"/>
        <s v="GEETHU"/>
        <s v="SOUMYA"/>
      </sharedItems>
    </cacheField>
    <cacheField name="Total Course Fees" numFmtId="0">
      <sharedItems containsSemiMixedTypes="0" containsString="0" containsNumber="1" containsInteger="1" minValue="1000" maxValue="35400"/>
    </cacheField>
    <cacheField name="Paid Fees" numFmtId="0">
      <sharedItems containsSemiMixedTypes="0" containsString="0" containsNumber="1" containsInteger="1" minValue="0" maxValue="25000"/>
    </cacheField>
    <cacheField name="Pending" numFmtId="0">
      <sharedItems containsSemiMixedTypes="0" containsString="0" containsNumber="1" containsInteger="1" minValue="0" maxValue="30400"/>
    </cacheField>
    <cacheField name="Payment Status" numFmtId="0">
      <sharedItems count="2">
        <s v="YES"/>
        <s v="NO"/>
      </sharedItems>
    </cacheField>
    <cacheField name="Months (Date )" numFmtId="0" databaseField="0">
      <fieldGroup base="0">
        <rangePr groupBy="months" startDate="2024-01-11T00:00:00" endDate="2025-12-04T00:00:00"/>
        <groupItems count="14">
          <s v="&lt;11-01-2024"/>
          <s v="Jan"/>
          <s v="Feb"/>
          <s v="Mar"/>
          <s v="Apr"/>
          <s v="May"/>
          <s v="Jun"/>
          <s v="Jul"/>
          <s v="Aug"/>
          <s v="Sep"/>
          <s v="Oct"/>
          <s v="Nov"/>
          <s v="Dec"/>
          <s v="&gt;04-12-2025"/>
        </groupItems>
      </fieldGroup>
    </cacheField>
    <cacheField name="Quarters (Date )" numFmtId="0" databaseField="0">
      <fieldGroup base="0">
        <rangePr groupBy="quarters" startDate="2024-01-11T00:00:00" endDate="2025-12-04T00:00:00"/>
        <groupItems count="6">
          <s v="&lt;11-01-2024"/>
          <s v="Qtr1"/>
          <s v="Qtr2"/>
          <s v="Qtr3"/>
          <s v="Qtr4"/>
          <s v="&gt;04-12-2025"/>
        </groupItems>
      </fieldGroup>
    </cacheField>
    <cacheField name="Years (Date )" numFmtId="0" databaseField="0">
      <fieldGroup base="0">
        <rangePr groupBy="years" startDate="2024-01-11T00:00:00" endDate="2025-12-04T00:00:00"/>
        <groupItems count="4">
          <s v="&lt;11-01-2024"/>
          <s v="2024"/>
          <s v="2025"/>
          <s v="&gt;04-12-2025"/>
        </groupItems>
      </fieldGroup>
    </cacheField>
  </cacheFields>
  <extLst>
    <ext xmlns:x14="http://schemas.microsoft.com/office/spreadsheetml/2009/9/main" uri="{725AE2AE-9491-48be-B2B4-4EB974FC3084}">
      <x14:pivotCacheDefinition pivotCacheId="16407128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
  <r>
    <x v="0"/>
    <s v="AKHIL RAJ"/>
    <x v="0"/>
    <x v="0"/>
    <s v="NOV"/>
    <x v="0"/>
    <x v="0"/>
    <x v="0"/>
    <n v="25000"/>
    <n v="25000"/>
    <n v="0"/>
    <x v="0"/>
  </r>
  <r>
    <x v="0"/>
    <s v="RATHEESH"/>
    <x v="0"/>
    <x v="0"/>
    <s v="AUG"/>
    <x v="0"/>
    <x v="0"/>
    <x v="1"/>
    <n v="12500"/>
    <n v="10000"/>
    <n v="2500"/>
    <x v="1"/>
  </r>
  <r>
    <x v="1"/>
    <s v="SAJAD M PAJAY"/>
    <x v="0"/>
    <x v="0"/>
    <s v="NOV"/>
    <x v="0"/>
    <x v="0"/>
    <x v="2"/>
    <n v="14750"/>
    <n v="5000"/>
    <n v="9750"/>
    <x v="1"/>
  </r>
  <r>
    <x v="2"/>
    <s v="VIJITH"/>
    <x v="0"/>
    <x v="1"/>
    <s v="DEC"/>
    <x v="1"/>
    <x v="1"/>
    <x v="2"/>
    <n v="10000"/>
    <n v="7000"/>
    <n v="3000"/>
    <x v="1"/>
  </r>
  <r>
    <x v="3"/>
    <s v="RANISHA"/>
    <x v="1"/>
    <x v="2"/>
    <s v="DEC"/>
    <x v="0"/>
    <x v="2"/>
    <x v="2"/>
    <n v="30000"/>
    <n v="10000"/>
    <n v="20000"/>
    <x v="1"/>
  </r>
  <r>
    <x v="3"/>
    <s v="ARSHUN K S"/>
    <x v="0"/>
    <x v="0"/>
    <s v="DEC"/>
    <x v="0"/>
    <x v="0"/>
    <x v="2"/>
    <n v="12500"/>
    <n v="5000"/>
    <n v="7500"/>
    <x v="1"/>
  </r>
  <r>
    <x v="3"/>
    <s v="VASAN M M"/>
    <x v="0"/>
    <x v="1"/>
    <s v="DEC"/>
    <x v="1"/>
    <x v="1"/>
    <x v="2"/>
    <n v="9000"/>
    <n v="5000"/>
    <n v="4000"/>
    <x v="1"/>
  </r>
  <r>
    <x v="3"/>
    <s v="DONA"/>
    <x v="1"/>
    <x v="2"/>
    <s v="DEC"/>
    <x v="0"/>
    <x v="2"/>
    <x v="2"/>
    <n v="30000"/>
    <n v="20000"/>
    <n v="10000"/>
    <x v="1"/>
  </r>
  <r>
    <x v="4"/>
    <s v="SREERAG"/>
    <x v="0"/>
    <x v="0"/>
    <s v="NOV"/>
    <x v="0"/>
    <x v="0"/>
    <x v="2"/>
    <n v="12500"/>
    <n v="5000"/>
    <n v="7500"/>
    <x v="1"/>
  </r>
  <r>
    <x v="5"/>
    <s v="SHILPA RAJAN"/>
    <x v="1"/>
    <x v="2"/>
    <s v="DEC"/>
    <x v="0"/>
    <x v="2"/>
    <x v="2"/>
    <n v="12500"/>
    <n v="12500"/>
    <n v="0"/>
    <x v="0"/>
  </r>
  <r>
    <x v="6"/>
    <s v="ANEES"/>
    <x v="0"/>
    <x v="3"/>
    <s v="DEC"/>
    <x v="1"/>
    <x v="3"/>
    <x v="0"/>
    <n v="10000"/>
    <n v="10000"/>
    <n v="0"/>
    <x v="0"/>
  </r>
  <r>
    <x v="7"/>
    <s v="ANEESH KUMAR"/>
    <x v="0"/>
    <x v="0"/>
    <s v="NOV"/>
    <x v="0"/>
    <x v="0"/>
    <x v="2"/>
    <n v="12500"/>
    <n v="7500"/>
    <n v="5000"/>
    <x v="1"/>
  </r>
  <r>
    <x v="8"/>
    <s v="ASWANI N M"/>
    <x v="1"/>
    <x v="0"/>
    <s v="NOV"/>
    <x v="0"/>
    <x v="0"/>
    <x v="0"/>
    <n v="12500"/>
    <n v="12500"/>
    <n v="0"/>
    <x v="0"/>
  </r>
  <r>
    <x v="9"/>
    <s v="ABHISH MURALI"/>
    <x v="0"/>
    <x v="4"/>
    <s v="DEC"/>
    <x v="0"/>
    <x v="4"/>
    <x v="2"/>
    <n v="10000"/>
    <n v="2500"/>
    <n v="7500"/>
    <x v="1"/>
  </r>
  <r>
    <x v="9"/>
    <s v="HASHIM"/>
    <x v="0"/>
    <x v="3"/>
    <s v="DEC"/>
    <x v="1"/>
    <x v="3"/>
    <x v="0"/>
    <n v="10000"/>
    <n v="10000"/>
    <n v="0"/>
    <x v="0"/>
  </r>
  <r>
    <x v="9"/>
    <s v="SATHEESH"/>
    <x v="0"/>
    <x v="3"/>
    <s v="DEC"/>
    <x v="1"/>
    <x v="3"/>
    <x v="0"/>
    <n v="10000"/>
    <n v="10000"/>
    <n v="0"/>
    <x v="0"/>
  </r>
  <r>
    <x v="10"/>
    <s v="HAKKEEM V P"/>
    <x v="0"/>
    <x v="3"/>
    <s v="DEC"/>
    <x v="1"/>
    <x v="3"/>
    <x v="2"/>
    <n v="10030"/>
    <n v="5000"/>
    <n v="5030"/>
    <x v="1"/>
  </r>
  <r>
    <x v="10"/>
    <s v="SADANANDAN"/>
    <x v="0"/>
    <x v="3"/>
    <s v="DEC"/>
    <x v="1"/>
    <x v="3"/>
    <x v="0"/>
    <n v="11800"/>
    <n v="11800"/>
    <n v="0"/>
    <x v="0"/>
  </r>
  <r>
    <x v="10"/>
    <s v="RINSHAD JASIL"/>
    <x v="0"/>
    <x v="4"/>
    <s v="DEC"/>
    <x v="0"/>
    <x v="4"/>
    <x v="2"/>
    <n v="25000"/>
    <n v="1000"/>
    <n v="24000"/>
    <x v="1"/>
  </r>
  <r>
    <x v="11"/>
    <s v="AMEEN"/>
    <x v="0"/>
    <x v="3"/>
    <s v="DEC"/>
    <x v="1"/>
    <x v="3"/>
    <x v="2"/>
    <n v="11800"/>
    <n v="2000"/>
    <n v="9800"/>
    <x v="1"/>
  </r>
  <r>
    <x v="12"/>
    <s v="AKHIL"/>
    <x v="0"/>
    <x v="1"/>
    <s v="DEC"/>
    <x v="1"/>
    <x v="1"/>
    <x v="0"/>
    <n v="11800"/>
    <n v="11800"/>
    <n v="0"/>
    <x v="0"/>
  </r>
  <r>
    <x v="12"/>
    <s v="VIJESH A V"/>
    <x v="0"/>
    <x v="3"/>
    <s v="DEC"/>
    <x v="1"/>
    <x v="3"/>
    <x v="0"/>
    <n v="10000"/>
    <n v="10000"/>
    <n v="0"/>
    <x v="0"/>
  </r>
  <r>
    <x v="13"/>
    <s v="SUDHEER"/>
    <x v="0"/>
    <x v="4"/>
    <s v="DEC"/>
    <x v="1"/>
    <x v="4"/>
    <x v="2"/>
    <n v="11800"/>
    <n v="4000"/>
    <n v="7800"/>
    <x v="1"/>
  </r>
  <r>
    <x v="14"/>
    <s v="MOIDEEN HAMRAS"/>
    <x v="0"/>
    <x v="2"/>
    <s v="DEC"/>
    <x v="0"/>
    <x v="2"/>
    <x v="3"/>
    <n v="35400"/>
    <n v="7500"/>
    <n v="27900"/>
    <x v="1"/>
  </r>
  <r>
    <x v="14"/>
    <s v="SHINIL C"/>
    <x v="0"/>
    <x v="4"/>
    <s v="DEC"/>
    <x v="1"/>
    <x v="4"/>
    <x v="3"/>
    <n v="11800"/>
    <n v="2000"/>
    <n v="9800"/>
    <x v="1"/>
  </r>
  <r>
    <x v="14"/>
    <s v="VINEESHLAL"/>
    <x v="0"/>
    <x v="2"/>
    <s v="DEC"/>
    <x v="0"/>
    <x v="2"/>
    <x v="3"/>
    <n v="35400"/>
    <n v="5000"/>
    <n v="30400"/>
    <x v="1"/>
  </r>
  <r>
    <x v="15"/>
    <s v="SANTHOSH KUMAR PK"/>
    <x v="0"/>
    <x v="0"/>
    <s v="DEC"/>
    <x v="0"/>
    <x v="0"/>
    <x v="3"/>
    <n v="14750"/>
    <n v="2000"/>
    <n v="12750"/>
    <x v="1"/>
  </r>
  <r>
    <x v="15"/>
    <s v="NOUFAL P K"/>
    <x v="0"/>
    <x v="3"/>
    <s v="DEC"/>
    <x v="0"/>
    <x v="3"/>
    <x v="3"/>
    <n v="29500"/>
    <n v="20000"/>
    <n v="9500"/>
    <x v="1"/>
  </r>
  <r>
    <x v="15"/>
    <s v="SHOBHANA P M"/>
    <x v="1"/>
    <x v="1"/>
    <s v="DEC"/>
    <x v="1"/>
    <x v="1"/>
    <x v="0"/>
    <n v="11800"/>
    <n v="11800"/>
    <n v="0"/>
    <x v="0"/>
  </r>
  <r>
    <x v="16"/>
    <s v="LAIJU ALIAS"/>
    <x v="0"/>
    <x v="3"/>
    <s v="DEC"/>
    <x v="1"/>
    <x v="3"/>
    <x v="0"/>
    <n v="11800"/>
    <n v="11800"/>
    <n v="0"/>
    <x v="0"/>
  </r>
  <r>
    <x v="17"/>
    <s v="CHAITHRA B"/>
    <x v="1"/>
    <x v="3"/>
    <s v="DEC"/>
    <x v="1"/>
    <x v="3"/>
    <x v="0"/>
    <n v="11800"/>
    <n v="11800"/>
    <n v="0"/>
    <x v="0"/>
  </r>
  <r>
    <x v="17"/>
    <s v="JITHESH K"/>
    <x v="0"/>
    <x v="3"/>
    <s v="DEC"/>
    <x v="1"/>
    <x v="3"/>
    <x v="0"/>
    <n v="11800"/>
    <n v="11800"/>
    <n v="0"/>
    <x v="0"/>
  </r>
  <r>
    <x v="18"/>
    <s v="JOBIN"/>
    <x v="0"/>
    <x v="1"/>
    <s v="JAN"/>
    <x v="1"/>
    <x v="1"/>
    <x v="3"/>
    <n v="11800"/>
    <n v="7000"/>
    <n v="4800"/>
    <x v="1"/>
  </r>
  <r>
    <x v="19"/>
    <s v="SANTHOSH KUMAR E"/>
    <x v="0"/>
    <x v="0"/>
    <s v="MAR"/>
    <x v="0"/>
    <x v="0"/>
    <x v="1"/>
    <n v="35000"/>
    <n v="15000"/>
    <n v="20000"/>
    <x v="1"/>
  </r>
  <r>
    <x v="20"/>
    <s v="LIGY ANTONY IGNATIOUS"/>
    <x v="0"/>
    <x v="5"/>
    <s v="APR"/>
    <x v="0"/>
    <x v="5"/>
    <x v="1"/>
    <n v="20000"/>
    <n v="20000"/>
    <n v="0"/>
    <x v="0"/>
  </r>
  <r>
    <x v="20"/>
    <s v="ANOOP K VAS"/>
    <x v="0"/>
    <x v="5"/>
    <s v="APR"/>
    <x v="0"/>
    <x v="5"/>
    <x v="1"/>
    <n v="20000"/>
    <n v="20000"/>
    <n v="0"/>
    <x v="0"/>
  </r>
  <r>
    <x v="21"/>
    <s v="SATHEESH KUMAR"/>
    <x v="0"/>
    <x v="3"/>
    <s v="JAN"/>
    <x v="1"/>
    <x v="3"/>
    <x v="0"/>
    <n v="11800"/>
    <n v="11800"/>
    <n v="0"/>
    <x v="0"/>
  </r>
  <r>
    <x v="21"/>
    <s v="RAJEEV K R"/>
    <x v="0"/>
    <x v="3"/>
    <s v="JAN"/>
    <x v="1"/>
    <x v="3"/>
    <x v="0"/>
    <n v="11800"/>
    <n v="11800"/>
    <n v="0"/>
    <x v="0"/>
  </r>
  <r>
    <x v="22"/>
    <s v="RIZWANA SAGEER"/>
    <x v="1"/>
    <x v="1"/>
    <s v="JAN"/>
    <x v="1"/>
    <x v="1"/>
    <x v="3"/>
    <n v="11800"/>
    <n v="6900"/>
    <n v="4900"/>
    <x v="1"/>
  </r>
  <r>
    <x v="22"/>
    <s v="ABIN KS"/>
    <x v="0"/>
    <x v="5"/>
    <s v="JAN"/>
    <x v="1"/>
    <x v="5"/>
    <x v="1"/>
    <n v="11800"/>
    <n v="7500"/>
    <n v="4300"/>
    <x v="1"/>
  </r>
  <r>
    <x v="23"/>
    <s v="KASTHURI"/>
    <x v="1"/>
    <x v="1"/>
    <s v="JAN"/>
    <x v="1"/>
    <x v="1"/>
    <x v="3"/>
    <n v="11800"/>
    <n v="11800"/>
    <n v="0"/>
    <x v="0"/>
  </r>
  <r>
    <x v="23"/>
    <s v="LINTA VARGHESE"/>
    <x v="1"/>
    <x v="3"/>
    <s v="JAN"/>
    <x v="1"/>
    <x v="3"/>
    <x v="1"/>
    <n v="11800"/>
    <n v="2000"/>
    <n v="9800"/>
    <x v="1"/>
  </r>
  <r>
    <x v="24"/>
    <s v="ABHISHEK"/>
    <x v="0"/>
    <x v="1"/>
    <s v="JAN"/>
    <x v="1"/>
    <x v="1"/>
    <x v="1"/>
    <n v="11800"/>
    <n v="1000"/>
    <n v="10800"/>
    <x v="1"/>
  </r>
  <r>
    <x v="24"/>
    <s v="SHAJAHAN"/>
    <x v="0"/>
    <x v="3"/>
    <s v="JAN"/>
    <x v="1"/>
    <x v="3"/>
    <x v="1"/>
    <n v="35400"/>
    <n v="20000"/>
    <n v="15400"/>
    <x v="1"/>
  </r>
  <r>
    <x v="25"/>
    <s v="AKSHAY KUMAR"/>
    <x v="0"/>
    <x v="3"/>
    <s v="JAN"/>
    <x v="1"/>
    <x v="3"/>
    <x v="0"/>
    <n v="11800"/>
    <n v="11800"/>
    <n v="0"/>
    <x v="0"/>
  </r>
  <r>
    <x v="26"/>
    <s v="JACOB JOHN"/>
    <x v="0"/>
    <x v="3"/>
    <s v="JAN"/>
    <x v="1"/>
    <x v="3"/>
    <x v="0"/>
    <n v="11800"/>
    <n v="11800"/>
    <n v="0"/>
    <x v="0"/>
  </r>
  <r>
    <x v="26"/>
    <s v="MATHEW PHILIP"/>
    <x v="0"/>
    <x v="3"/>
    <s v="JAN"/>
    <x v="1"/>
    <x v="3"/>
    <x v="0"/>
    <n v="11800"/>
    <n v="11800"/>
    <n v="0"/>
    <x v="0"/>
  </r>
  <r>
    <x v="27"/>
    <s v="RAMSHAD A K"/>
    <x v="0"/>
    <x v="3"/>
    <s v="JAN"/>
    <x v="1"/>
    <x v="3"/>
    <x v="1"/>
    <n v="11800"/>
    <n v="2000"/>
    <n v="9800"/>
    <x v="1"/>
  </r>
  <r>
    <x v="28"/>
    <s v="JOSEPH KURUVILA"/>
    <x v="0"/>
    <x v="1"/>
    <s v="JAN"/>
    <x v="1"/>
    <x v="1"/>
    <x v="3"/>
    <n v="11800"/>
    <n v="11800"/>
    <n v="0"/>
    <x v="0"/>
  </r>
  <r>
    <x v="29"/>
    <s v="SHAMSAD T K"/>
    <x v="0"/>
    <x v="1"/>
    <s v="JAN"/>
    <x v="1"/>
    <x v="1"/>
    <x v="1"/>
    <n v="11800"/>
    <n v="11800"/>
    <n v="0"/>
    <x v="0"/>
  </r>
  <r>
    <x v="30"/>
    <s v="SIJUMON V"/>
    <x v="0"/>
    <x v="3"/>
    <s v="JAN"/>
    <x v="1"/>
    <x v="3"/>
    <x v="1"/>
    <n v="11800"/>
    <n v="11800"/>
    <n v="0"/>
    <x v="0"/>
  </r>
  <r>
    <x v="31"/>
    <s v="SHABEER"/>
    <x v="0"/>
    <x v="1"/>
    <s v="JAN"/>
    <x v="1"/>
    <x v="1"/>
    <x v="1"/>
    <n v="29500"/>
    <n v="2000"/>
    <n v="27500"/>
    <x v="1"/>
  </r>
  <r>
    <x v="32"/>
    <s v="BYJU K K"/>
    <x v="0"/>
    <x v="3"/>
    <s v="JAN"/>
    <x v="1"/>
    <x v="3"/>
    <x v="0"/>
    <n v="11800"/>
    <n v="11800"/>
    <n v="0"/>
    <x v="0"/>
  </r>
  <r>
    <x v="32"/>
    <s v="SHAFI K M"/>
    <x v="0"/>
    <x v="3"/>
    <s v="JAN"/>
    <x v="1"/>
    <x v="3"/>
    <x v="3"/>
    <n v="11800"/>
    <n v="2000"/>
    <n v="9800"/>
    <x v="1"/>
  </r>
  <r>
    <x v="32"/>
    <s v="SHYLESH"/>
    <x v="0"/>
    <x v="3"/>
    <s v="JAN"/>
    <x v="1"/>
    <x v="3"/>
    <x v="3"/>
    <n v="11800"/>
    <n v="500"/>
    <n v="11300"/>
    <x v="1"/>
  </r>
  <r>
    <x v="33"/>
    <s v="ISHAQ AP"/>
    <x v="0"/>
    <x v="3"/>
    <s v="FEB"/>
    <x v="1"/>
    <x v="3"/>
    <x v="3"/>
    <n v="11800"/>
    <n v="11800"/>
    <n v="0"/>
    <x v="0"/>
  </r>
  <r>
    <x v="33"/>
    <s v="SHINESH"/>
    <x v="0"/>
    <x v="3"/>
    <s v="FEB"/>
    <x v="1"/>
    <x v="3"/>
    <x v="3"/>
    <n v="14000"/>
    <n v="6000"/>
    <n v="8000"/>
    <x v="1"/>
  </r>
  <r>
    <x v="34"/>
    <s v="DILEEP CHANDRAN"/>
    <x v="0"/>
    <x v="5"/>
    <s v="APR"/>
    <x v="0"/>
    <x v="5"/>
    <x v="3"/>
    <n v="20000"/>
    <n v="20000"/>
    <n v="0"/>
    <x v="0"/>
  </r>
  <r>
    <x v="34"/>
    <s v="ANEES A"/>
    <x v="0"/>
    <x v="4"/>
    <s v="APR"/>
    <x v="0"/>
    <x v="4"/>
    <x v="1"/>
    <n v="20000"/>
    <n v="2000"/>
    <n v="18000"/>
    <x v="1"/>
  </r>
  <r>
    <x v="34"/>
    <s v="SHAJI CHALIL HAMSA"/>
    <x v="0"/>
    <x v="4"/>
    <s v="APR"/>
    <x v="0"/>
    <x v="4"/>
    <x v="3"/>
    <n v="20000"/>
    <n v="1000"/>
    <n v="19000"/>
    <x v="1"/>
  </r>
  <r>
    <x v="35"/>
    <s v="MUHAMMED SUHAIL TM"/>
    <x v="0"/>
    <x v="3"/>
    <s v="FEB"/>
    <x v="1"/>
    <x v="3"/>
    <x v="2"/>
    <n v="14000"/>
    <n v="14000"/>
    <n v="0"/>
    <x v="0"/>
  </r>
  <r>
    <x v="35"/>
    <s v="NIPUN"/>
    <x v="0"/>
    <x v="3"/>
    <s v="FEB"/>
    <x v="1"/>
    <x v="3"/>
    <x v="2"/>
    <n v="14000"/>
    <n v="14000"/>
    <n v="0"/>
    <x v="0"/>
  </r>
  <r>
    <x v="36"/>
    <s v="REJILAL RAVI"/>
    <x v="1"/>
    <x v="5"/>
    <s v="FEB"/>
    <x v="1"/>
    <x v="5"/>
    <x v="0"/>
    <n v="11800"/>
    <n v="11800"/>
    <n v="0"/>
    <x v="0"/>
  </r>
  <r>
    <x v="36"/>
    <s v="SAJIN S"/>
    <x v="0"/>
    <x v="3"/>
    <s v="FEB"/>
    <x v="1"/>
    <x v="3"/>
    <x v="3"/>
    <n v="14000"/>
    <n v="7000"/>
    <n v="7000"/>
    <x v="1"/>
  </r>
  <r>
    <x v="37"/>
    <s v="SARATH"/>
    <x v="0"/>
    <x v="5"/>
    <s v="FEB"/>
    <x v="1"/>
    <x v="5"/>
    <x v="3"/>
    <n v="14000"/>
    <n v="14000"/>
    <n v="0"/>
    <x v="0"/>
  </r>
  <r>
    <x v="37"/>
    <s v="SREEJITH KENOTH"/>
    <x v="0"/>
    <x v="5"/>
    <s v="FEB"/>
    <x v="1"/>
    <x v="5"/>
    <x v="3"/>
    <n v="14000"/>
    <n v="14000"/>
    <n v="0"/>
    <x v="0"/>
  </r>
  <r>
    <x v="38"/>
    <s v="SAMEER MUTHALEEF"/>
    <x v="0"/>
    <x v="5"/>
    <s v="FEB"/>
    <x v="1"/>
    <x v="5"/>
    <x v="1"/>
    <n v="14000"/>
    <n v="14000"/>
    <n v="0"/>
    <x v="0"/>
  </r>
  <r>
    <x v="39"/>
    <s v="FAISAL"/>
    <x v="0"/>
    <x v="4"/>
    <s v="FEB"/>
    <x v="1"/>
    <x v="4"/>
    <x v="1"/>
    <n v="14000"/>
    <n v="500"/>
    <n v="13500"/>
    <x v="1"/>
  </r>
  <r>
    <x v="39"/>
    <s v="SHAMSUDHEEN KUNDIL"/>
    <x v="0"/>
    <x v="4"/>
    <s v="FEB"/>
    <x v="1"/>
    <x v="4"/>
    <x v="2"/>
    <n v="14000"/>
    <n v="1000"/>
    <n v="13000"/>
    <x v="1"/>
  </r>
  <r>
    <x v="40"/>
    <s v="FRANCIS XAVIER"/>
    <x v="0"/>
    <x v="3"/>
    <s v="FEB"/>
    <x v="1"/>
    <x v="3"/>
    <x v="1"/>
    <n v="14000"/>
    <n v="14000"/>
    <n v="0"/>
    <x v="0"/>
  </r>
  <r>
    <x v="40"/>
    <s v="AJMAL ALI"/>
    <x v="0"/>
    <x v="5"/>
    <s v="FEB"/>
    <x v="1"/>
    <x v="5"/>
    <x v="1"/>
    <n v="14000"/>
    <n v="14000"/>
    <n v="0"/>
    <x v="0"/>
  </r>
  <r>
    <x v="41"/>
    <s v="SHON ANTONY"/>
    <x v="0"/>
    <x v="0"/>
    <s v="FEB"/>
    <x v="1"/>
    <x v="0"/>
    <x v="1"/>
    <n v="20000"/>
    <n v="20000"/>
    <n v="0"/>
    <x v="0"/>
  </r>
  <r>
    <x v="41"/>
    <s v="SAJI JOHN"/>
    <x v="0"/>
    <x v="3"/>
    <s v="FEB"/>
    <x v="1"/>
    <x v="3"/>
    <x v="3"/>
    <n v="14000"/>
    <n v="14000"/>
    <n v="0"/>
    <x v="0"/>
  </r>
  <r>
    <x v="42"/>
    <s v="FALLUDHEEN"/>
    <x v="0"/>
    <x v="5"/>
    <s v="FEB"/>
    <x v="1"/>
    <x v="5"/>
    <x v="2"/>
    <n v="14000"/>
    <n v="14000"/>
    <n v="0"/>
    <x v="0"/>
  </r>
  <r>
    <x v="42"/>
    <s v="NASEEM TK"/>
    <x v="0"/>
    <x v="5"/>
    <s v="FEB"/>
    <x v="1"/>
    <x v="5"/>
    <x v="2"/>
    <n v="14000"/>
    <n v="14000"/>
    <n v="0"/>
    <x v="0"/>
  </r>
  <r>
    <x v="43"/>
    <s v="ADARSH PS"/>
    <x v="0"/>
    <x v="5"/>
    <s v="FEB"/>
    <x v="1"/>
    <x v="5"/>
    <x v="3"/>
    <n v="14000"/>
    <n v="14000"/>
    <n v="0"/>
    <x v="0"/>
  </r>
  <r>
    <x v="43"/>
    <s v="SAM GEORGE"/>
    <x v="0"/>
    <x v="5"/>
    <s v="FEB"/>
    <x v="1"/>
    <x v="5"/>
    <x v="2"/>
    <n v="14000"/>
    <n v="14000"/>
    <n v="0"/>
    <x v="0"/>
  </r>
  <r>
    <x v="43"/>
    <s v="SHAJU"/>
    <x v="0"/>
    <x v="5"/>
    <s v="FEB"/>
    <x v="1"/>
    <x v="5"/>
    <x v="2"/>
    <n v="14000"/>
    <n v="7000"/>
    <n v="7000"/>
    <x v="1"/>
  </r>
  <r>
    <x v="43"/>
    <s v="SHAMSUDHEEN"/>
    <x v="0"/>
    <x v="5"/>
    <s v="FEB"/>
    <x v="1"/>
    <x v="5"/>
    <x v="3"/>
    <n v="14000"/>
    <n v="7000"/>
    <n v="7000"/>
    <x v="1"/>
  </r>
  <r>
    <x v="43"/>
    <s v="ANURAG"/>
    <x v="0"/>
    <x v="5"/>
    <s v="FEB"/>
    <x v="1"/>
    <x v="5"/>
    <x v="3"/>
    <n v="14000"/>
    <n v="14000"/>
    <n v="0"/>
    <x v="0"/>
  </r>
  <r>
    <x v="43"/>
    <s v="MUHAMMED BASHEER M"/>
    <x v="0"/>
    <x v="5"/>
    <s v="FEB"/>
    <x v="1"/>
    <x v="5"/>
    <x v="2"/>
    <n v="14000"/>
    <n v="14000"/>
    <n v="0"/>
    <x v="0"/>
  </r>
  <r>
    <x v="44"/>
    <s v="MUHAMMES MUSTHAFA V"/>
    <x v="0"/>
    <x v="5"/>
    <s v="FEB"/>
    <x v="1"/>
    <x v="5"/>
    <x v="2"/>
    <n v="14000"/>
    <n v="14000"/>
    <n v="0"/>
    <x v="0"/>
  </r>
  <r>
    <x v="44"/>
    <s v="RATHEESH P S"/>
    <x v="0"/>
    <x v="5"/>
    <s v="FEB"/>
    <x v="1"/>
    <x v="5"/>
    <x v="2"/>
    <n v="14000"/>
    <n v="7000"/>
    <n v="7000"/>
    <x v="1"/>
  </r>
  <r>
    <x v="45"/>
    <s v="JEYAKODI ANANIAS"/>
    <x v="0"/>
    <x v="5"/>
    <s v="FEB"/>
    <x v="1"/>
    <x v="5"/>
    <x v="0"/>
    <n v="14000"/>
    <n v="14000"/>
    <n v="0"/>
    <x v="0"/>
  </r>
  <r>
    <x v="45"/>
    <s v="ARUN KUTTAN PILLAI"/>
    <x v="0"/>
    <x v="5"/>
    <s v="FEB"/>
    <x v="1"/>
    <x v="5"/>
    <x v="3"/>
    <n v="14000"/>
    <n v="7000"/>
    <n v="7000"/>
    <x v="1"/>
  </r>
  <r>
    <x v="45"/>
    <s v="SARFARAZ NAWAZ"/>
    <x v="0"/>
    <x v="1"/>
    <s v="FEB"/>
    <x v="1"/>
    <x v="1"/>
    <x v="3"/>
    <n v="14000"/>
    <n v="14000"/>
    <n v="0"/>
    <x v="0"/>
  </r>
  <r>
    <x v="46"/>
    <s v="JASFEER"/>
    <x v="0"/>
    <x v="4"/>
    <s v="FEB"/>
    <x v="1"/>
    <x v="4"/>
    <x v="2"/>
    <n v="14000"/>
    <n v="2000"/>
    <n v="12000"/>
    <x v="1"/>
  </r>
  <r>
    <x v="47"/>
    <s v="REENA MOHANDAS"/>
    <x v="1"/>
    <x v="5"/>
    <s v="FEB"/>
    <x v="1"/>
    <x v="5"/>
    <x v="3"/>
    <n v="14000"/>
    <n v="14000"/>
    <n v="0"/>
    <x v="0"/>
  </r>
  <r>
    <x v="47"/>
    <s v="RADHAKRISHNAN CHANDRASEKHARAN"/>
    <x v="0"/>
    <x v="4"/>
    <s v="FEB"/>
    <x v="1"/>
    <x v="4"/>
    <x v="3"/>
    <n v="14000"/>
    <n v="1000"/>
    <n v="13000"/>
    <x v="1"/>
  </r>
  <r>
    <x v="48"/>
    <s v="SUBIN"/>
    <x v="0"/>
    <x v="5"/>
    <s v="FEB"/>
    <x v="1"/>
    <x v="5"/>
    <x v="2"/>
    <n v="14000"/>
    <n v="14000"/>
    <n v="0"/>
    <x v="0"/>
  </r>
  <r>
    <x v="48"/>
    <s v="SAMEER MUHAMMED"/>
    <x v="0"/>
    <x v="4"/>
    <s v="FEB"/>
    <x v="1"/>
    <x v="4"/>
    <x v="2"/>
    <n v="14000"/>
    <n v="1000"/>
    <n v="13000"/>
    <x v="1"/>
  </r>
  <r>
    <x v="48"/>
    <s v="SAJI KUMAR"/>
    <x v="0"/>
    <x v="5"/>
    <s v="FEB"/>
    <x v="1"/>
    <x v="5"/>
    <x v="3"/>
    <n v="14000"/>
    <n v="14000"/>
    <n v="0"/>
    <x v="0"/>
  </r>
  <r>
    <x v="49"/>
    <s v="ANAS NALAKATH"/>
    <x v="0"/>
    <x v="3"/>
    <s v="JAN"/>
    <x v="1"/>
    <x v="3"/>
    <x v="3"/>
    <n v="11800"/>
    <n v="2000"/>
    <n v="9800"/>
    <x v="1"/>
  </r>
  <r>
    <x v="50"/>
    <s v="HARISH KUMAR"/>
    <x v="0"/>
    <x v="3"/>
    <s v="FEB"/>
    <x v="1"/>
    <x v="3"/>
    <x v="1"/>
    <n v="14000"/>
    <n v="14000"/>
    <n v="0"/>
    <x v="0"/>
  </r>
  <r>
    <x v="50"/>
    <s v="SUNIL ABRAHAM"/>
    <x v="0"/>
    <x v="3"/>
    <s v="FEB"/>
    <x v="1"/>
    <x v="3"/>
    <x v="0"/>
    <n v="14000"/>
    <n v="14000"/>
    <n v="0"/>
    <x v="0"/>
  </r>
  <r>
    <x v="51"/>
    <s v="SUMITH A P"/>
    <x v="0"/>
    <x v="5"/>
    <s v="MAR"/>
    <x v="1"/>
    <x v="5"/>
    <x v="2"/>
    <n v="14000"/>
    <n v="14000"/>
    <n v="0"/>
    <x v="0"/>
  </r>
  <r>
    <x v="52"/>
    <s v="MUSTHAFA"/>
    <x v="0"/>
    <x v="5"/>
    <s v="APR"/>
    <x v="0"/>
    <x v="5"/>
    <x v="2"/>
    <n v="20000"/>
    <n v="20000"/>
    <n v="0"/>
    <x v="0"/>
  </r>
  <r>
    <x v="53"/>
    <s v="SATHEESH R"/>
    <x v="0"/>
    <x v="5"/>
    <s v="MAR"/>
    <x v="1"/>
    <x v="5"/>
    <x v="1"/>
    <n v="14000"/>
    <n v="14000"/>
    <n v="0"/>
    <x v="0"/>
  </r>
  <r>
    <x v="54"/>
    <s v="UNNIKRISHNAPILLAI SK"/>
    <x v="0"/>
    <x v="5"/>
    <s v="MAR"/>
    <x v="1"/>
    <x v="5"/>
    <x v="3"/>
    <n v="14000"/>
    <n v="14000"/>
    <n v="0"/>
    <x v="0"/>
  </r>
  <r>
    <x v="54"/>
    <s v="SHAHARBAN C P"/>
    <x v="0"/>
    <x v="5"/>
    <s v="MAR"/>
    <x v="1"/>
    <x v="5"/>
    <x v="3"/>
    <n v="14000"/>
    <n v="14000"/>
    <n v="0"/>
    <x v="0"/>
  </r>
  <r>
    <x v="54"/>
    <s v="BIJUBALAN"/>
    <x v="0"/>
    <x v="5"/>
    <s v="MAR"/>
    <x v="1"/>
    <x v="5"/>
    <x v="1"/>
    <n v="14000"/>
    <n v="7000"/>
    <n v="7000"/>
    <x v="1"/>
  </r>
  <r>
    <x v="54"/>
    <s v="SHAMEEMA"/>
    <x v="1"/>
    <x v="4"/>
    <s v="MAR"/>
    <x v="1"/>
    <x v="4"/>
    <x v="3"/>
    <n v="14000"/>
    <n v="1000"/>
    <n v="13000"/>
    <x v="1"/>
  </r>
  <r>
    <x v="54"/>
    <s v="BAIJU THOMAS"/>
    <x v="0"/>
    <x v="5"/>
    <s v="MAR"/>
    <x v="1"/>
    <x v="5"/>
    <x v="1"/>
    <n v="14000"/>
    <n v="14000"/>
    <n v="0"/>
    <x v="0"/>
  </r>
  <r>
    <x v="55"/>
    <s v="MANIKANDAN"/>
    <x v="0"/>
    <x v="4"/>
    <s v="MAR"/>
    <x v="1"/>
    <x v="4"/>
    <x v="2"/>
    <n v="14000"/>
    <n v="2000"/>
    <n v="12000"/>
    <x v="1"/>
  </r>
  <r>
    <x v="55"/>
    <s v="THASNI HASSAN"/>
    <x v="1"/>
    <x v="5"/>
    <s v="MAR"/>
    <x v="1"/>
    <x v="5"/>
    <x v="3"/>
    <n v="10000"/>
    <n v="10000"/>
    <n v="0"/>
    <x v="0"/>
  </r>
  <r>
    <x v="55"/>
    <s v="HASSAN KB"/>
    <x v="0"/>
    <x v="5"/>
    <s v="MAR"/>
    <x v="1"/>
    <x v="5"/>
    <x v="3"/>
    <n v="10000"/>
    <n v="10000"/>
    <n v="0"/>
    <x v="0"/>
  </r>
  <r>
    <x v="55"/>
    <s v="ABDUL RASHEED VM"/>
    <x v="0"/>
    <x v="1"/>
    <s v="MAR"/>
    <x v="1"/>
    <x v="1"/>
    <x v="2"/>
    <n v="14000"/>
    <n v="14000"/>
    <n v="0"/>
    <x v="0"/>
  </r>
  <r>
    <x v="55"/>
    <s v="MIDHUN PAVITHRAN"/>
    <x v="0"/>
    <x v="5"/>
    <s v="MAR"/>
    <x v="1"/>
    <x v="5"/>
    <x v="2"/>
    <n v="14000"/>
    <n v="14000"/>
    <n v="0"/>
    <x v="0"/>
  </r>
  <r>
    <x v="56"/>
    <s v="N ABDUL AMEER"/>
    <x v="0"/>
    <x v="1"/>
    <s v="MAR"/>
    <x v="1"/>
    <x v="1"/>
    <x v="1"/>
    <n v="14000"/>
    <n v="14000"/>
    <n v="0"/>
    <x v="0"/>
  </r>
  <r>
    <x v="57"/>
    <s v="IJAS AHAMMED"/>
    <x v="0"/>
    <x v="5"/>
    <s v="MAR"/>
    <x v="1"/>
    <x v="5"/>
    <x v="2"/>
    <n v="14000"/>
    <n v="11000"/>
    <n v="3000"/>
    <x v="1"/>
  </r>
  <r>
    <x v="57"/>
    <s v="SANOJ P"/>
    <x v="0"/>
    <x v="4"/>
    <s v="MAR"/>
    <x v="1"/>
    <x v="4"/>
    <x v="2"/>
    <n v="14000"/>
    <n v="1000"/>
    <n v="13000"/>
    <x v="1"/>
  </r>
  <r>
    <x v="57"/>
    <s v="SADIK ALI CM"/>
    <x v="0"/>
    <x v="4"/>
    <s v="MAR"/>
    <x v="1"/>
    <x v="4"/>
    <x v="2"/>
    <n v="14000"/>
    <n v="1000"/>
    <n v="13000"/>
    <x v="1"/>
  </r>
  <r>
    <x v="57"/>
    <s v="GIBIN JACOB GEORGE"/>
    <x v="0"/>
    <x v="1"/>
    <s v="MAR"/>
    <x v="1"/>
    <x v="1"/>
    <x v="3"/>
    <n v="14000"/>
    <n v="14000"/>
    <n v="0"/>
    <x v="0"/>
  </r>
  <r>
    <x v="58"/>
    <s v="LOHITH A K"/>
    <x v="0"/>
    <x v="5"/>
    <s v="MAR"/>
    <x v="1"/>
    <x v="5"/>
    <x v="3"/>
    <n v="14000"/>
    <n v="14000"/>
    <n v="0"/>
    <x v="0"/>
  </r>
  <r>
    <x v="58"/>
    <s v="SACHIN"/>
    <x v="0"/>
    <x v="1"/>
    <s v="MAR"/>
    <x v="1"/>
    <x v="1"/>
    <x v="1"/>
    <n v="14000"/>
    <n v="7000"/>
    <n v="7000"/>
    <x v="1"/>
  </r>
  <r>
    <x v="58"/>
    <s v="MUHAMMED SHUHAIB M"/>
    <x v="0"/>
    <x v="5"/>
    <s v="MAR"/>
    <x v="1"/>
    <x v="5"/>
    <x v="2"/>
    <n v="14000"/>
    <n v="14000"/>
    <n v="0"/>
    <x v="0"/>
  </r>
  <r>
    <x v="58"/>
    <s v="SULAIMAN EDATHOLE"/>
    <x v="0"/>
    <x v="4"/>
    <s v="MAR"/>
    <x v="1"/>
    <x v="4"/>
    <x v="3"/>
    <n v="14000"/>
    <n v="0"/>
    <n v="14000"/>
    <x v="1"/>
  </r>
  <r>
    <x v="58"/>
    <s v="LIJO P JOHN"/>
    <x v="0"/>
    <x v="5"/>
    <s v="MAR"/>
    <x v="1"/>
    <x v="5"/>
    <x v="3"/>
    <n v="14000"/>
    <n v="14000"/>
    <n v="0"/>
    <x v="0"/>
  </r>
  <r>
    <x v="59"/>
    <s v="DILJITH RENJAN"/>
    <x v="0"/>
    <x v="5"/>
    <s v="MAR"/>
    <x v="1"/>
    <x v="5"/>
    <x v="2"/>
    <n v="14000"/>
    <n v="7000"/>
    <n v="7000"/>
    <x v="1"/>
  </r>
  <r>
    <x v="59"/>
    <s v="RAHUL R"/>
    <x v="0"/>
    <x v="4"/>
    <s v="MAR"/>
    <x v="1"/>
    <x v="4"/>
    <x v="2"/>
    <n v="14000"/>
    <n v="1000"/>
    <n v="13000"/>
    <x v="1"/>
  </r>
  <r>
    <x v="59"/>
    <s v="BINU S"/>
    <x v="0"/>
    <x v="4"/>
    <s v="MAR"/>
    <x v="1"/>
    <x v="4"/>
    <x v="2"/>
    <n v="14000"/>
    <n v="2000"/>
    <n v="12000"/>
    <x v="1"/>
  </r>
  <r>
    <x v="59"/>
    <s v="ANEESH"/>
    <x v="0"/>
    <x v="5"/>
    <s v="MAR"/>
    <x v="1"/>
    <x v="5"/>
    <x v="1"/>
    <n v="14000"/>
    <n v="14000"/>
    <n v="0"/>
    <x v="0"/>
  </r>
  <r>
    <x v="59"/>
    <s v="SIBI SASIKUMARAN"/>
    <x v="0"/>
    <x v="5"/>
    <s v="MAR"/>
    <x v="1"/>
    <x v="5"/>
    <x v="1"/>
    <n v="14000"/>
    <n v="14000"/>
    <n v="0"/>
    <x v="0"/>
  </r>
  <r>
    <x v="60"/>
    <s v="SHINO GEORGE"/>
    <x v="0"/>
    <x v="5"/>
    <s v="MAR"/>
    <x v="1"/>
    <x v="5"/>
    <x v="2"/>
    <n v="14000"/>
    <n v="14000"/>
    <n v="0"/>
    <x v="0"/>
  </r>
  <r>
    <x v="60"/>
    <s v="ANOOP KRISHNAN"/>
    <x v="0"/>
    <x v="4"/>
    <s v="MAR"/>
    <x v="1"/>
    <x v="4"/>
    <x v="3"/>
    <n v="14000"/>
    <n v="2000"/>
    <n v="12000"/>
    <x v="1"/>
  </r>
  <r>
    <x v="61"/>
    <s v="RAKESH PULIYAMPILLIL"/>
    <x v="0"/>
    <x v="5"/>
    <s v="MAR"/>
    <x v="1"/>
    <x v="5"/>
    <x v="1"/>
    <n v="14000"/>
    <n v="14000"/>
    <n v="0"/>
    <x v="0"/>
  </r>
  <r>
    <x v="61"/>
    <s v="AKHIL P"/>
    <x v="0"/>
    <x v="5"/>
    <s v="MAR"/>
    <x v="1"/>
    <x v="5"/>
    <x v="2"/>
    <n v="14000"/>
    <n v="14000"/>
    <n v="0"/>
    <x v="0"/>
  </r>
  <r>
    <x v="61"/>
    <s v="SHABEER ALI"/>
    <x v="0"/>
    <x v="5"/>
    <s v="MAR"/>
    <x v="1"/>
    <x v="5"/>
    <x v="3"/>
    <n v="14000"/>
    <n v="14000"/>
    <n v="0"/>
    <x v="0"/>
  </r>
  <r>
    <x v="62"/>
    <s v="BINU RAJA"/>
    <x v="0"/>
    <x v="5"/>
    <s v="MAR"/>
    <x v="1"/>
    <x v="5"/>
    <x v="3"/>
    <n v="14000"/>
    <n v="14000"/>
    <n v="0"/>
    <x v="0"/>
  </r>
  <r>
    <x v="62"/>
    <s v="JINOSH P K"/>
    <x v="0"/>
    <x v="2"/>
    <s v="MAR"/>
    <x v="1"/>
    <x v="2"/>
    <x v="3"/>
    <n v="14000"/>
    <n v="14000"/>
    <n v="0"/>
    <x v="0"/>
  </r>
  <r>
    <x v="62"/>
    <s v="JOSHIMON P J"/>
    <x v="0"/>
    <x v="5"/>
    <s v="MAR"/>
    <x v="1"/>
    <x v="5"/>
    <x v="3"/>
    <n v="14000"/>
    <n v="7000"/>
    <n v="7000"/>
    <x v="1"/>
  </r>
  <r>
    <x v="62"/>
    <s v="SIJO JOHN"/>
    <x v="0"/>
    <x v="5"/>
    <s v="MAR"/>
    <x v="1"/>
    <x v="5"/>
    <x v="1"/>
    <n v="14000"/>
    <n v="14000"/>
    <n v="0"/>
    <x v="0"/>
  </r>
  <r>
    <x v="63"/>
    <s v="RAJESH"/>
    <x v="0"/>
    <x v="5"/>
    <s v="MAR"/>
    <x v="1"/>
    <x v="5"/>
    <x v="1"/>
    <n v="14000"/>
    <n v="7000"/>
    <n v="7000"/>
    <x v="1"/>
  </r>
  <r>
    <x v="63"/>
    <s v="RAJEEV R"/>
    <x v="0"/>
    <x v="5"/>
    <s v="MAR"/>
    <x v="1"/>
    <x v="5"/>
    <x v="2"/>
    <n v="14000"/>
    <n v="14000"/>
    <n v="0"/>
    <x v="0"/>
  </r>
  <r>
    <x v="63"/>
    <s v="DILSHAAD"/>
    <x v="0"/>
    <x v="5"/>
    <s v="MAR"/>
    <x v="1"/>
    <x v="5"/>
    <x v="2"/>
    <n v="14000"/>
    <n v="14000"/>
    <n v="0"/>
    <x v="0"/>
  </r>
  <r>
    <x v="64"/>
    <s v="AJIT G NAIR"/>
    <x v="0"/>
    <x v="5"/>
    <s v="MAR"/>
    <x v="1"/>
    <x v="5"/>
    <x v="1"/>
    <n v="14000"/>
    <n v="14000"/>
    <n v="0"/>
    <x v="0"/>
  </r>
  <r>
    <x v="64"/>
    <s v="RAJESH K S"/>
    <x v="0"/>
    <x v="4"/>
    <s v="MAR"/>
    <x v="1"/>
    <x v="4"/>
    <x v="3"/>
    <n v="14000"/>
    <n v="1000"/>
    <n v="13000"/>
    <x v="1"/>
  </r>
  <r>
    <x v="64"/>
    <s v="MAYA JAMES"/>
    <x v="1"/>
    <x v="5"/>
    <s v="MAR"/>
    <x v="1"/>
    <x v="5"/>
    <x v="3"/>
    <n v="14000"/>
    <n v="14000"/>
    <n v="0"/>
    <x v="0"/>
  </r>
  <r>
    <x v="65"/>
    <s v="GOKUL T"/>
    <x v="0"/>
    <x v="5"/>
    <s v="MAR"/>
    <x v="1"/>
    <x v="5"/>
    <x v="1"/>
    <n v="14000"/>
    <n v="14000"/>
    <n v="0"/>
    <x v="0"/>
  </r>
  <r>
    <x v="66"/>
    <s v="ABHILASH ARAVINDAKSHAN"/>
    <x v="0"/>
    <x v="4"/>
    <s v="MAR"/>
    <x v="1"/>
    <x v="4"/>
    <x v="1"/>
    <n v="14000"/>
    <n v="3000"/>
    <n v="11000"/>
    <x v="1"/>
  </r>
  <r>
    <x v="66"/>
    <s v="VIJESH K"/>
    <x v="0"/>
    <x v="5"/>
    <s v="MAR"/>
    <x v="1"/>
    <x v="5"/>
    <x v="2"/>
    <n v="14000"/>
    <n v="14000"/>
    <n v="0"/>
    <x v="0"/>
  </r>
  <r>
    <x v="67"/>
    <s v="MANJU"/>
    <x v="0"/>
    <x v="4"/>
    <s v="MAR"/>
    <x v="1"/>
    <x v="4"/>
    <x v="3"/>
    <n v="14000"/>
    <n v="1000"/>
    <n v="13000"/>
    <x v="1"/>
  </r>
  <r>
    <x v="68"/>
    <s v="RAHUL"/>
    <x v="0"/>
    <x v="5"/>
    <s v="MAR"/>
    <x v="1"/>
    <x v="5"/>
    <x v="2"/>
    <n v="14000"/>
    <n v="14000"/>
    <n v="0"/>
    <x v="0"/>
  </r>
  <r>
    <x v="68"/>
    <s v="HAREESHMA J S"/>
    <x v="1"/>
    <x v="4"/>
    <s v="MAR"/>
    <x v="1"/>
    <x v="4"/>
    <x v="3"/>
    <n v="14000"/>
    <n v="1500"/>
    <n v="12500"/>
    <x v="1"/>
  </r>
  <r>
    <x v="68"/>
    <s v="SOUMYA SHANOJ"/>
    <x v="1"/>
    <x v="5"/>
    <s v="MAR"/>
    <x v="1"/>
    <x v="5"/>
    <x v="1"/>
    <n v="14000"/>
    <n v="14000"/>
    <n v="0"/>
    <x v="0"/>
  </r>
  <r>
    <x v="69"/>
    <s v="SHAHULHAMEED"/>
    <x v="0"/>
    <x v="1"/>
    <s v="JAN"/>
    <x v="1"/>
    <x v="1"/>
    <x v="3"/>
    <n v="11800"/>
    <n v="5000"/>
    <n v="6800"/>
    <x v="1"/>
  </r>
  <r>
    <x v="69"/>
    <s v="THUSHARA S"/>
    <x v="1"/>
    <x v="3"/>
    <s v="JAN"/>
    <x v="1"/>
    <x v="3"/>
    <x v="0"/>
    <n v="11800"/>
    <n v="11800"/>
    <n v="0"/>
    <x v="0"/>
  </r>
  <r>
    <x v="69"/>
    <s v="ANUSREE G"/>
    <x v="1"/>
    <x v="3"/>
    <s v="JAN"/>
    <x v="1"/>
    <x v="3"/>
    <x v="0"/>
    <n v="11800"/>
    <n v="11800"/>
    <n v="0"/>
    <x v="0"/>
  </r>
  <r>
    <x v="70"/>
    <s v="ANAS VATAPURAM"/>
    <x v="0"/>
    <x v="3"/>
    <s v="FEB"/>
    <x v="1"/>
    <x v="3"/>
    <x v="3"/>
    <n v="14000"/>
    <n v="7000"/>
    <n v="7000"/>
    <x v="1"/>
  </r>
  <r>
    <x v="71"/>
    <s v="SREERAG RAGHAVAN"/>
    <x v="0"/>
    <x v="5"/>
    <s v="MAR"/>
    <x v="1"/>
    <x v="5"/>
    <x v="2"/>
    <n v="14000"/>
    <n v="14000"/>
    <n v="0"/>
    <x v="0"/>
  </r>
  <r>
    <x v="72"/>
    <s v="PRADEEP S P"/>
    <x v="0"/>
    <x v="3"/>
    <s v="FEB"/>
    <x v="1"/>
    <x v="3"/>
    <x v="3"/>
    <n v="14000"/>
    <n v="14000"/>
    <n v="0"/>
    <x v="0"/>
  </r>
  <r>
    <x v="72"/>
    <s v="MUHAMMED AJMAL"/>
    <x v="0"/>
    <x v="4"/>
    <s v="FEB"/>
    <x v="1"/>
    <x v="4"/>
    <x v="2"/>
    <n v="14000"/>
    <n v="1000"/>
    <n v="13000"/>
    <x v="1"/>
  </r>
  <r>
    <x v="73"/>
    <s v="SAFAR ALI"/>
    <x v="0"/>
    <x v="5"/>
    <s v="MAR"/>
    <x v="1"/>
    <x v="5"/>
    <x v="3"/>
    <n v="14000"/>
    <n v="14000"/>
    <n v="0"/>
    <x v="0"/>
  </r>
  <r>
    <x v="74"/>
    <s v="AFSAL"/>
    <x v="0"/>
    <x v="3"/>
    <s v="FEB"/>
    <x v="1"/>
    <x v="3"/>
    <x v="3"/>
    <n v="14000"/>
    <n v="5000"/>
    <n v="9000"/>
    <x v="1"/>
  </r>
  <r>
    <x v="74"/>
    <s v="RAYIS V M"/>
    <x v="0"/>
    <x v="4"/>
    <s v="FEB"/>
    <x v="1"/>
    <x v="4"/>
    <x v="3"/>
    <n v="14000"/>
    <n v="1500"/>
    <n v="12500"/>
    <x v="1"/>
  </r>
  <r>
    <x v="75"/>
    <s v="SHAFEER SULAIMAN"/>
    <x v="0"/>
    <x v="5"/>
    <s v="MAR"/>
    <x v="1"/>
    <x v="5"/>
    <x v="1"/>
    <n v="14000"/>
    <n v="7000"/>
    <n v="7000"/>
    <x v="1"/>
  </r>
  <r>
    <x v="75"/>
    <s v="SAJU GEORGE"/>
    <x v="0"/>
    <x v="4"/>
    <s v="MAR"/>
    <x v="1"/>
    <x v="4"/>
    <x v="1"/>
    <n v="14000"/>
    <n v="2000"/>
    <n v="12000"/>
    <x v="1"/>
  </r>
  <r>
    <x v="76"/>
    <s v="AKHIL BABU"/>
    <x v="0"/>
    <x v="3"/>
    <s v="JAN"/>
    <x v="1"/>
    <x v="3"/>
    <x v="3"/>
    <n v="11800"/>
    <n v="2000"/>
    <n v="9800"/>
    <x v="1"/>
  </r>
  <r>
    <x v="76"/>
    <s v="MUHAMMED RASHID K"/>
    <x v="0"/>
    <x v="3"/>
    <s v="JAN"/>
    <x v="1"/>
    <x v="3"/>
    <x v="3"/>
    <n v="11800"/>
    <n v="1000"/>
    <n v="10800"/>
    <x v="1"/>
  </r>
  <r>
    <x v="77"/>
    <s v="SHANU"/>
    <x v="0"/>
    <x v="5"/>
    <s v="FEB"/>
    <x v="1"/>
    <x v="5"/>
    <x v="3"/>
    <n v="14000"/>
    <n v="14000"/>
    <n v="0"/>
    <x v="0"/>
  </r>
  <r>
    <x v="77"/>
    <s v="MANOOP G PANIKKAR"/>
    <x v="0"/>
    <x v="3"/>
    <s v="FEB"/>
    <x v="1"/>
    <x v="3"/>
    <x v="3"/>
    <n v="14000"/>
    <n v="7000"/>
    <n v="7000"/>
    <x v="1"/>
  </r>
  <r>
    <x v="77"/>
    <s v="SYEDALI"/>
    <x v="0"/>
    <x v="3"/>
    <s v="FEB"/>
    <x v="1"/>
    <x v="3"/>
    <x v="2"/>
    <n v="14000"/>
    <n v="7000"/>
    <n v="7000"/>
    <x v="1"/>
  </r>
  <r>
    <x v="78"/>
    <s v="MUHAMMED AFSAL"/>
    <x v="0"/>
    <x v="5"/>
    <s v="MAR"/>
    <x v="1"/>
    <x v="5"/>
    <x v="1"/>
    <n v="14000"/>
    <n v="7000"/>
    <n v="7000"/>
    <x v="1"/>
  </r>
  <r>
    <x v="78"/>
    <s v="ANSAR"/>
    <x v="0"/>
    <x v="5"/>
    <s v="MAR"/>
    <x v="1"/>
    <x v="5"/>
    <x v="1"/>
    <n v="14000"/>
    <n v="14000"/>
    <n v="0"/>
    <x v="0"/>
  </r>
  <r>
    <x v="78"/>
    <s v="MANSOOR M K"/>
    <x v="0"/>
    <x v="2"/>
    <s v="MAR"/>
    <x v="1"/>
    <x v="2"/>
    <x v="2"/>
    <n v="20000"/>
    <n v="10000"/>
    <n v="10000"/>
    <x v="1"/>
  </r>
  <r>
    <x v="78"/>
    <s v="MUNEER"/>
    <x v="0"/>
    <x v="5"/>
    <s v="MAR"/>
    <x v="1"/>
    <x v="5"/>
    <x v="3"/>
    <n v="14000"/>
    <n v="5000"/>
    <n v="9000"/>
    <x v="1"/>
  </r>
  <r>
    <x v="79"/>
    <s v="MUHAMMED IBRAHIM"/>
    <x v="0"/>
    <x v="3"/>
    <s v="FEB"/>
    <x v="1"/>
    <x v="3"/>
    <x v="2"/>
    <n v="14000"/>
    <n v="7000"/>
    <n v="7000"/>
    <x v="1"/>
  </r>
  <r>
    <x v="79"/>
    <s v="RISWAN ALI C K"/>
    <x v="0"/>
    <x v="3"/>
    <s v="FEB"/>
    <x v="1"/>
    <x v="3"/>
    <x v="2"/>
    <n v="14000"/>
    <n v="14000"/>
    <n v="0"/>
    <x v="0"/>
  </r>
  <r>
    <x v="80"/>
    <s v="PRAVEEN M K"/>
    <x v="0"/>
    <x v="5"/>
    <s v="MAR"/>
    <x v="1"/>
    <x v="5"/>
    <x v="2"/>
    <n v="14000"/>
    <n v="14000"/>
    <n v="0"/>
    <x v="0"/>
  </r>
  <r>
    <x v="81"/>
    <s v="SUJITH"/>
    <x v="0"/>
    <x v="3"/>
    <s v="JAN"/>
    <x v="1"/>
    <x v="3"/>
    <x v="3"/>
    <n v="11800"/>
    <n v="5000"/>
    <n v="6800"/>
    <x v="1"/>
  </r>
  <r>
    <x v="81"/>
    <s v="ABDUSSALAM"/>
    <x v="0"/>
    <x v="3"/>
    <s v="JAN"/>
    <x v="1"/>
    <x v="3"/>
    <x v="0"/>
    <n v="11800"/>
    <n v="11800"/>
    <n v="0"/>
    <x v="0"/>
  </r>
  <r>
    <x v="82"/>
    <s v="SINNY R LAZAR"/>
    <x v="1"/>
    <x v="3"/>
    <s v="FEB"/>
    <x v="1"/>
    <x v="3"/>
    <x v="1"/>
    <n v="14000"/>
    <n v="14000"/>
    <n v="0"/>
    <x v="0"/>
  </r>
  <r>
    <x v="83"/>
    <s v="SHAHUL HAMEED K"/>
    <x v="0"/>
    <x v="4"/>
    <s v="MAR"/>
    <x v="1"/>
    <x v="4"/>
    <x v="2"/>
    <n v="14000"/>
    <n v="2000"/>
    <n v="12000"/>
    <x v="1"/>
  </r>
  <r>
    <x v="84"/>
    <s v="BADUSHA A"/>
    <x v="0"/>
    <x v="4"/>
    <s v="JAN"/>
    <x v="1"/>
    <x v="4"/>
    <x v="1"/>
    <n v="11800"/>
    <n v="1000"/>
    <n v="10800"/>
    <x v="1"/>
  </r>
  <r>
    <x v="84"/>
    <s v="ZIAD HASSAN"/>
    <x v="0"/>
    <x v="3"/>
    <s v="JAN"/>
    <x v="1"/>
    <x v="3"/>
    <x v="0"/>
    <n v="11800"/>
    <n v="11800"/>
    <n v="0"/>
    <x v="0"/>
  </r>
  <r>
    <x v="84"/>
    <s v="VINIL M JOSE"/>
    <x v="0"/>
    <x v="1"/>
    <s v="JAN"/>
    <x v="1"/>
    <x v="1"/>
    <x v="3"/>
    <n v="11800"/>
    <n v="2000"/>
    <n v="9800"/>
    <x v="1"/>
  </r>
  <r>
    <x v="84"/>
    <s v="ANTONY MICHAEL"/>
    <x v="0"/>
    <x v="3"/>
    <s v="JAN"/>
    <x v="1"/>
    <x v="3"/>
    <x v="1"/>
    <n v="11800"/>
    <n v="5000"/>
    <n v="6800"/>
    <x v="1"/>
  </r>
  <r>
    <x v="85"/>
    <s v="NANDU NARAYANAN"/>
    <x v="0"/>
    <x v="3"/>
    <s v="FEB"/>
    <x v="1"/>
    <x v="3"/>
    <x v="2"/>
    <n v="14000"/>
    <n v="7000"/>
    <n v="7000"/>
    <x v="1"/>
  </r>
  <r>
    <x v="85"/>
    <s v="LIJIN VINCENT"/>
    <x v="0"/>
    <x v="4"/>
    <s v="FEB"/>
    <x v="1"/>
    <x v="4"/>
    <x v="1"/>
    <n v="14000"/>
    <n v="1000"/>
    <n v="13000"/>
    <x v="1"/>
  </r>
  <r>
    <x v="85"/>
    <s v="SREEJITH K"/>
    <x v="0"/>
    <x v="3"/>
    <s v="FEB"/>
    <x v="1"/>
    <x v="3"/>
    <x v="3"/>
    <n v="14000"/>
    <n v="14000"/>
    <n v="0"/>
    <x v="0"/>
  </r>
  <r>
    <x v="86"/>
    <s v="NOUFAL M K"/>
    <x v="0"/>
    <x v="4"/>
    <s v="MAR"/>
    <x v="1"/>
    <x v="4"/>
    <x v="1"/>
    <n v="14000"/>
    <n v="1000"/>
    <n v="13000"/>
    <x v="1"/>
  </r>
  <r>
    <x v="86"/>
    <s v="SANTHOSH JOYKUTTY"/>
    <x v="0"/>
    <x v="5"/>
    <s v="MAR"/>
    <x v="1"/>
    <x v="5"/>
    <x v="2"/>
    <n v="14000"/>
    <n v="14000"/>
    <n v="0"/>
    <x v="0"/>
  </r>
  <r>
    <x v="86"/>
    <s v="JITHESH JOHN"/>
    <x v="0"/>
    <x v="5"/>
    <s v="MAR"/>
    <x v="1"/>
    <x v="5"/>
    <x v="1"/>
    <n v="10000"/>
    <n v="10000"/>
    <n v="0"/>
    <x v="0"/>
  </r>
  <r>
    <x v="86"/>
    <s v="DINESH KUMAR"/>
    <x v="0"/>
    <x v="5"/>
    <s v="MAR"/>
    <x v="1"/>
    <x v="5"/>
    <x v="1"/>
    <n v="10000"/>
    <n v="10000"/>
    <n v="0"/>
    <x v="0"/>
  </r>
  <r>
    <x v="86"/>
    <s v="SAFEENA MOOSA"/>
    <x v="1"/>
    <x v="5"/>
    <s v="MAR"/>
    <x v="1"/>
    <x v="5"/>
    <x v="3"/>
    <n v="10000"/>
    <n v="10000"/>
    <n v="0"/>
    <x v="0"/>
  </r>
  <r>
    <x v="86"/>
    <s v="MOOSAKUTTY"/>
    <x v="0"/>
    <x v="5"/>
    <s v="MAR"/>
    <x v="1"/>
    <x v="5"/>
    <x v="3"/>
    <n v="10000"/>
    <n v="10000"/>
    <n v="0"/>
    <x v="0"/>
  </r>
  <r>
    <x v="86"/>
    <s v="FAIZAL"/>
    <x v="0"/>
    <x v="5"/>
    <s v="MAR"/>
    <x v="1"/>
    <x v="5"/>
    <x v="2"/>
    <n v="14000"/>
    <n v="7000"/>
    <n v="7000"/>
    <x v="1"/>
  </r>
  <r>
    <x v="87"/>
    <s v="RIYAS P"/>
    <x v="0"/>
    <x v="3"/>
    <s v="FEB"/>
    <x v="1"/>
    <x v="3"/>
    <x v="2"/>
    <n v="14000"/>
    <n v="7000"/>
    <n v="7000"/>
    <x v="1"/>
  </r>
  <r>
    <x v="87"/>
    <s v="ARUN KUMAR"/>
    <x v="0"/>
    <x v="4"/>
    <s v="FEB"/>
    <x v="1"/>
    <x v="4"/>
    <x v="2"/>
    <n v="14000"/>
    <n v="1500"/>
    <n v="12500"/>
    <x v="1"/>
  </r>
  <r>
    <x v="87"/>
    <s v="CHEESHMA"/>
    <x v="1"/>
    <x v="1"/>
    <s v="FEB"/>
    <x v="1"/>
    <x v="1"/>
    <x v="3"/>
    <n v="14000"/>
    <n v="14000"/>
    <n v="0"/>
    <x v="0"/>
  </r>
  <r>
    <x v="87"/>
    <s v="MOHAMMED RASIQUE P"/>
    <x v="0"/>
    <x v="0"/>
    <s v="FEB"/>
    <x v="0"/>
    <x v="0"/>
    <x v="2"/>
    <n v="1000"/>
    <n v="1000"/>
    <n v="0"/>
    <x v="0"/>
  </r>
  <r>
    <x v="88"/>
    <s v="ABHINAV S"/>
    <x v="0"/>
    <x v="4"/>
    <s v="MAR"/>
    <x v="1"/>
    <x v="4"/>
    <x v="3"/>
    <n v="14000"/>
    <n v="1000"/>
    <n v="13000"/>
    <x v="1"/>
  </r>
  <r>
    <x v="88"/>
    <s v="SUDHEESH S"/>
    <x v="0"/>
    <x v="5"/>
    <s v="MAR"/>
    <x v="1"/>
    <x v="5"/>
    <x v="3"/>
    <n v="14000"/>
    <n v="7000"/>
    <n v="7000"/>
    <x v="1"/>
  </r>
  <r>
    <x v="88"/>
    <s v="NIDHIN BALAN"/>
    <x v="0"/>
    <x v="5"/>
    <s v="MAR"/>
    <x v="1"/>
    <x v="5"/>
    <x v="3"/>
    <n v="14000"/>
    <n v="14000"/>
    <n v="0"/>
    <x v="0"/>
  </r>
  <r>
    <x v="89"/>
    <s v="RENJITH"/>
    <x v="0"/>
    <x v="4"/>
    <s v="FEB"/>
    <x v="1"/>
    <x v="4"/>
    <x v="3"/>
    <n v="1000"/>
    <n v="1000"/>
    <n v="0"/>
    <x v="0"/>
  </r>
  <r>
    <x v="90"/>
    <s v="HARISANKAR ANILKUMAR"/>
    <x v="0"/>
    <x v="5"/>
    <s v="MAR"/>
    <x v="1"/>
    <x v="5"/>
    <x v="1"/>
    <n v="14000"/>
    <n v="10000"/>
    <n v="4000"/>
    <x v="1"/>
  </r>
  <r>
    <x v="90"/>
    <s v="BESTIN XAVIER"/>
    <x v="0"/>
    <x v="5"/>
    <s v="MAR"/>
    <x v="1"/>
    <x v="5"/>
    <x v="2"/>
    <n v="14000"/>
    <n v="14000"/>
    <n v="0"/>
    <x v="0"/>
  </r>
  <r>
    <x v="90"/>
    <s v="JUSTIN ARUL"/>
    <x v="0"/>
    <x v="5"/>
    <s v="MAR"/>
    <x v="1"/>
    <x v="5"/>
    <x v="3"/>
    <n v="14000"/>
    <n v="14000"/>
    <n v="0"/>
    <x v="0"/>
  </r>
  <r>
    <x v="90"/>
    <s v="BIJU VARGHESE"/>
    <x v="0"/>
    <x v="5"/>
    <s v="MAR"/>
    <x v="1"/>
    <x v="5"/>
    <x v="1"/>
    <n v="14000"/>
    <n v="14000"/>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55E0A6-7517-48EC-A84C-0C2B609E49B5}" name="PivotTable1"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37">
  <location ref="A3:B6" firstHeaderRow="1" firstDataRow="1" firstDataCol="1"/>
  <pivotFields count="15">
    <pivotField numFmtId="14"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dataField="1" showAll="0"/>
    <pivotField showAll="0">
      <items count="3">
        <item x="1"/>
        <item x="0"/>
        <item t="default"/>
      </items>
    </pivotField>
    <pivotField showAll="0">
      <items count="7">
        <item x="3"/>
        <item x="2"/>
        <item x="4"/>
        <item x="5"/>
        <item x="0"/>
        <item x="1"/>
        <item t="default"/>
      </items>
    </pivotField>
    <pivotField showAll="0"/>
    <pivotField axis="axisRow" showAll="0">
      <items count="3">
        <item x="0"/>
        <item x="1"/>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3">
    <i>
      <x/>
    </i>
    <i>
      <x v="1"/>
    </i>
    <i t="grand">
      <x/>
    </i>
  </rowItems>
  <colItems count="1">
    <i/>
  </colItems>
  <dataFields count="1">
    <dataField name="Count of Student Name" fld="1" subtotal="count" baseField="0" baseItem="0"/>
  </dataFields>
  <chartFormats count="3">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5" count="1" selected="0">
            <x v="0"/>
          </reference>
        </references>
      </pivotArea>
    </chartFormat>
    <chartFormat chart="1" format="3">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8D0E6F-646F-491F-A116-C289B5B0E21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19:I22" firstHeaderRow="1" firstDataRow="1" firstDataCol="1"/>
  <pivotFields count="15">
    <pivotField numFmtId="14"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dataField="1" showAll="0"/>
    <pivotField showAll="0"/>
    <pivotField showAll="0">
      <items count="7">
        <item x="3"/>
        <item x="2"/>
        <item x="4"/>
        <item x="5"/>
        <item x="0"/>
        <item x="1"/>
        <item t="default"/>
      </items>
    </pivotField>
    <pivotField showAll="0"/>
    <pivotField showAll="0"/>
    <pivotField showAll="0">
      <items count="7">
        <item x="3"/>
        <item x="5"/>
        <item x="0"/>
        <item x="2"/>
        <item x="1"/>
        <item x="4"/>
        <item t="default"/>
      </items>
    </pivotField>
    <pivotField showAll="0"/>
    <pivotField showAll="0"/>
    <pivotField showAll="0"/>
    <pivotField showAll="0"/>
    <pivotField axis="axisRow" showAll="0">
      <items count="3">
        <item x="1"/>
        <item x="0"/>
        <item t="default"/>
      </items>
    </pivotField>
    <pivotField showAll="0" defaultSubtotal="0"/>
    <pivotField showAll="0" defaultSubtotal="0"/>
    <pivotField showAll="0" defaultSubtotal="0">
      <items count="4">
        <item x="0"/>
        <item x="1"/>
        <item x="2"/>
        <item x="3"/>
      </items>
    </pivotField>
  </pivotFields>
  <rowFields count="1">
    <field x="11"/>
  </rowFields>
  <rowItems count="3">
    <i>
      <x/>
    </i>
    <i>
      <x v="1"/>
    </i>
    <i t="grand">
      <x/>
    </i>
  </rowItems>
  <colItems count="1">
    <i/>
  </colItems>
  <dataFields count="1">
    <dataField name="Count of Student Name" fld="1" subtotal="count"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1" count="1" selected="0">
            <x v="0"/>
          </reference>
        </references>
      </pivotArea>
    </chartFormat>
    <chartFormat chart="2" format="6">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487F43-53A7-4C80-A4F7-1933AE45353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16:C21" firstHeaderRow="1" firstDataRow="1" firstDataCol="1"/>
  <pivotFields count="15">
    <pivotField numFmtId="14"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dataField="1" showAll="0"/>
    <pivotField showAll="0"/>
    <pivotField showAll="0"/>
    <pivotField showAll="0"/>
    <pivotField showAll="0"/>
    <pivotField showAll="0">
      <items count="7">
        <item x="3"/>
        <item x="5"/>
        <item x="0"/>
        <item x="2"/>
        <item x="1"/>
        <item x="4"/>
        <item t="default"/>
      </items>
    </pivotField>
    <pivotField axis="axisRow" showAll="0">
      <items count="5">
        <item x="0"/>
        <item x="1"/>
        <item x="2"/>
        <item x="3"/>
        <item t="default"/>
      </items>
    </pivotField>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7"/>
  </rowFields>
  <rowItems count="5">
    <i>
      <x/>
    </i>
    <i>
      <x v="1"/>
    </i>
    <i>
      <x v="2"/>
    </i>
    <i>
      <x v="3"/>
    </i>
    <i t="grand">
      <x/>
    </i>
  </rowItems>
  <colItems count="1">
    <i/>
  </colItems>
  <dataFields count="1">
    <dataField name="Count of Student Name" fld="1"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5A21E1-85AC-4EE0-8262-80D98C95B05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ourse">
  <location ref="H7:I14" firstHeaderRow="1" firstDataRow="1" firstDataCol="1"/>
  <pivotFields count="15">
    <pivotField numFmtId="14"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dataField="1" showAll="0"/>
    <pivotField showAll="0"/>
    <pivotField axis="axisRow" showAll="0">
      <items count="7">
        <item x="3"/>
        <item x="2"/>
        <item x="4"/>
        <item x="5"/>
        <item x="0"/>
        <item x="1"/>
        <item t="default"/>
      </items>
    </pivotField>
    <pivotField showAll="0"/>
    <pivotField showAll="0">
      <items count="3">
        <item x="0"/>
        <item x="1"/>
        <item t="default"/>
      </items>
    </pivotField>
    <pivotField showAll="0">
      <items count="7">
        <item x="3"/>
        <item x="5"/>
        <item x="0"/>
        <item x="2"/>
        <item x="1"/>
        <item x="4"/>
        <item t="default"/>
      </items>
    </pivotField>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3"/>
  </rowFields>
  <rowItems count="7">
    <i>
      <x/>
    </i>
    <i>
      <x v="1"/>
    </i>
    <i>
      <x v="2"/>
    </i>
    <i>
      <x v="3"/>
    </i>
    <i>
      <x v="4"/>
    </i>
    <i>
      <x v="5"/>
    </i>
    <i t="grand">
      <x/>
    </i>
  </rowItems>
  <colItems count="1">
    <i/>
  </colItems>
  <dataFields count="1">
    <dataField name="Count of Student Name" fld="1" subtotal="count"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7D22C2-278E-4A8C-BC7C-D5F5A8D8499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onths">
  <location ref="M13:N26" firstHeaderRow="1" firstDataRow="1" firstDataCol="1"/>
  <pivotFields count="15">
    <pivotField numFmtId="14"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dataField="1" showAll="0"/>
    <pivotField showAll="0"/>
    <pivotField showAll="0">
      <items count="7">
        <item x="3"/>
        <item x="2"/>
        <item x="4"/>
        <item x="5"/>
        <item x="0"/>
        <item x="1"/>
        <item t="default"/>
      </items>
    </pivotField>
    <pivotField showAll="0"/>
    <pivotField showAll="0">
      <items count="3">
        <item x="0"/>
        <item x="1"/>
        <item t="default"/>
      </items>
    </pivotField>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Count of Student Name" fld="1" subtotal="count" baseField="0" baseItem="0"/>
  </dataFields>
  <chartFormats count="2">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BFB0DD1F-C1F3-427D-BE46-487840D2B250}" autoFormatId="16" applyNumberFormats="0" applyBorderFormats="0" applyFontFormats="0" applyPatternFormats="0" applyAlignmentFormats="0" applyWidthHeightFormats="0">
  <queryTableRefresh nextId="18">
    <queryTableFields count="12">
      <queryTableField id="1" name="Date " tableColumnId="1"/>
      <queryTableField id="2" name="Student Name" tableColumnId="2"/>
      <queryTableField id="3" name="Gender" tableColumnId="3"/>
      <queryTableField id="14" name="Course" tableColumnId="14"/>
      <queryTableField id="4" name="Course Started Month" tableColumnId="4"/>
      <queryTableField id="5" name="Mode of study" tableColumnId="5"/>
      <queryTableField id="6" name="Batch" tableColumnId="6"/>
      <queryTableField id="15" name="Advisor" tableColumnId="15"/>
      <queryTableField id="8" name="Total Course Fees" tableColumnId="8"/>
      <queryTableField id="9" name="Paid Fees" tableColumnId="9"/>
      <queryTableField id="12" name="Pending" tableColumnId="12"/>
      <queryTableField id="13" name="Payment Status"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_of_study" xr10:uid="{AD1DDD72-4F75-4430-AC49-92716B280FAE}" sourceName="Mode of study">
  <pivotTables>
    <pivotTable tabId="4" name="PivotTable2"/>
    <pivotTable tabId="4" name="PivotTable4"/>
  </pivotTables>
  <data>
    <tabular pivotCacheId="164071289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 xr10:uid="{CB85C535-687B-4396-BAD1-2351C4CA9E52}" sourceName="Course">
  <pivotTables>
    <pivotTable tabId="4" name="PivotTable2"/>
    <pivotTable tabId="4" name="PivotTable1"/>
    <pivotTable tabId="4" name="PivotTable7"/>
  </pivotTables>
  <data>
    <tabular pivotCacheId="1640712899">
      <items count="6">
        <i x="3" s="1"/>
        <i x="2" s="1"/>
        <i x="4" s="1"/>
        <i x="5"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tch" xr10:uid="{F3476414-83DF-4793-B91A-BE413C1F154E}" sourceName="Batch">
  <pivotTables>
    <pivotTable tabId="4" name="PivotTable6"/>
    <pivotTable tabId="4" name="PivotTable7"/>
    <pivotTable tabId="4" name="PivotTable4"/>
  </pivotTables>
  <data>
    <tabular pivotCacheId="1640712899">
      <items count="6">
        <i x="3" s="1"/>
        <i x="5" s="1"/>
        <i x="0"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 of study" xr10:uid="{D268F2D9-954B-4D20-861F-08ECFC8424FB}" cache="Slicer_Mode_of_study" caption="Mode of study" columnCount="2" style="SlicerStyleLight4" rowHeight="234950"/>
  <slicer name="Course" xr10:uid="{78D58F7D-F4A1-4698-9630-B5819B20AD69}" cache="Slicer_Course" caption="Course" columnCount="3" style="SlicerStyleLight4" rowHeight="234950"/>
  <slicer name="Batch" xr10:uid="{06D9B422-CAF8-4D13-AB5C-44486B25ADF1}" cache="Slicer_Batch" caption="Batch" columnCount="3" style="SlicerStyleLight4"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33158D-740A-4230-B99D-2B7A3ECB51A4}" name="Table1" displayName="Table1" ref="A1:K625" totalsRowShown="0" dataDxfId="20" tableBorderDxfId="19">
  <autoFilter ref="A1:K625" xr:uid="{8033158D-740A-4230-B99D-2B7A3ECB51A4}"/>
  <tableColumns count="11">
    <tableColumn id="1" xr3:uid="{A9EC0A20-D60C-4604-AC95-A9CD6AACC614}" name="Date " dataDxfId="18"/>
    <tableColumn id="2" xr3:uid="{C78E7E8D-DE7D-4776-9139-DDD183A89BF5}" name="Student Name" dataDxfId="17"/>
    <tableColumn id="3" xr3:uid="{2E253C55-E06A-43AE-AC05-A6606E718DB9}" name="joined month" dataDxfId="16"/>
    <tableColumn id="4" xr3:uid="{008E09BD-C811-47AA-93D1-EC3E43F611CC}" name="Mode of study" dataDxfId="15"/>
    <tableColumn id="5" xr3:uid="{018428A9-A9D7-48A3-B328-52DB56F7773A}" name="Assigned Teacher" dataDxfId="14"/>
    <tableColumn id="6" xr3:uid="{1CF23866-F72E-4386-ACF4-F2E30F29A0F7}" name="Total Course Fees" dataDxfId="13"/>
    <tableColumn id="7" xr3:uid="{4DE30766-6370-48B3-BCAB-385B6592C677}" name="Paid Fees" dataDxfId="12"/>
    <tableColumn id="8" xr3:uid="{28894BEA-19DE-4231-872C-DBBA3E1CE044}" name="Pending Fees" dataDxfId="11"/>
    <tableColumn id="9" xr3:uid="{FCF336FD-AC42-4A93-B857-0E92CDAB0FE8}" name="Batch" dataDxfId="10"/>
    <tableColumn id="10" xr3:uid="{D021883D-0E12-472A-8FA0-68043B2887C5}" name="Full payment" dataDxfId="9"/>
    <tableColumn id="11" xr3:uid="{D63FF76E-C28C-4710-B91D-52FC484835FD}" name="Gender" dataDxfId="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0BB47C2-F514-437F-AD1A-50298872E50A}" name="Table1_2" displayName="Table1_2" ref="A1:L200" tableType="queryTable" totalsRowShown="0">
  <autoFilter ref="A1:L200" xr:uid="{90BB47C2-F514-437F-AD1A-50298872E50A}"/>
  <tableColumns count="12">
    <tableColumn id="1" xr3:uid="{4711D198-2D22-45C9-809E-657DCD29B2B6}" uniqueName="1" name="Date " queryTableFieldId="1" dataDxfId="7"/>
    <tableColumn id="2" xr3:uid="{A32FC313-20C9-43F5-85BA-0CD7D8741212}" uniqueName="2" name="Student Name" queryTableFieldId="2" dataDxfId="6"/>
    <tableColumn id="3" xr3:uid="{BC8D7B48-8546-4206-9266-D7A628C543F6}" uniqueName="3" name="Gender" queryTableFieldId="3" dataDxfId="5"/>
    <tableColumn id="14" xr3:uid="{99DA44F6-8F77-4086-8BB4-D1CB281BF77D}" uniqueName="14" name="Course" queryTableFieldId="14" dataDxfId="4"/>
    <tableColumn id="4" xr3:uid="{F41FA2E6-B907-4CF8-BA09-4A0722537DCA}" uniqueName="4" name="Course Started Month" queryTableFieldId="4" dataDxfId="3"/>
    <tableColumn id="5" xr3:uid="{DB96109E-BA57-4B65-8232-D737529EC8A5}" uniqueName="5" name="Mode of study" queryTableFieldId="5" dataDxfId="2"/>
    <tableColumn id="6" xr3:uid="{80561129-E8E3-47A2-8FDB-1D33164FB9A9}" uniqueName="6" name="Batch" queryTableFieldId="6" dataDxfId="1"/>
    <tableColumn id="15" xr3:uid="{8BC8CCEE-4338-42B4-A6C7-943DC7977205}" uniqueName="15" name="Advisor" queryTableFieldId="15" dataDxfId="0"/>
    <tableColumn id="8" xr3:uid="{EEE3EC97-4E08-46EC-ADEB-E117C61C53C4}" uniqueName="8" name="Total Course Fees" queryTableFieldId="8"/>
    <tableColumn id="9" xr3:uid="{A1D87876-EAC2-4B5B-910C-1E2519A567E2}" uniqueName="9" name="Paid Fees" queryTableFieldId="9"/>
    <tableColumn id="12" xr3:uid="{A328192A-ED75-4EFE-A391-E92723AC89A8}" uniqueName="12" name="Pending" queryTableFieldId="12"/>
    <tableColumn id="13" xr3:uid="{40ED266F-A623-4DE7-8B60-5330952BDC6C}" uniqueName="13" name="Payment Status" queryTableFieldId="13"/>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58470-4347-4123-A476-0C0CE24594C2}">
  <dimension ref="A1:K625"/>
  <sheetViews>
    <sheetView workbookViewId="0">
      <selection sqref="A1:K625"/>
    </sheetView>
  </sheetViews>
  <sheetFormatPr defaultRowHeight="14.4" x14ac:dyDescent="0.3"/>
  <cols>
    <col min="1" max="1" width="15" customWidth="1"/>
    <col min="2" max="2" width="20.88671875" customWidth="1"/>
    <col min="3" max="3" width="14.33203125" customWidth="1"/>
    <col min="4" max="4" width="17.6640625" bestFit="1" customWidth="1"/>
    <col min="5" max="5" width="20.6640625" customWidth="1"/>
    <col min="6" max="6" width="17.44140625" customWidth="1"/>
    <col min="7" max="7" width="10.6640625" customWidth="1"/>
    <col min="8" max="8" width="13.88671875" customWidth="1"/>
    <col min="10" max="10" width="39.21875" bestFit="1" customWidth="1"/>
    <col min="11" max="11" width="9" customWidth="1"/>
  </cols>
  <sheetData>
    <row r="1" spans="1:11" ht="15" thickBot="1" x14ac:dyDescent="0.35">
      <c r="A1" t="s">
        <v>888</v>
      </c>
      <c r="B1" t="s">
        <v>887</v>
      </c>
      <c r="C1" t="s">
        <v>889</v>
      </c>
      <c r="D1" t="s">
        <v>890</v>
      </c>
      <c r="E1" t="s">
        <v>891</v>
      </c>
      <c r="F1" t="s">
        <v>892</v>
      </c>
      <c r="G1" t="s">
        <v>893</v>
      </c>
      <c r="H1" t="s">
        <v>894</v>
      </c>
      <c r="I1" t="s">
        <v>895</v>
      </c>
      <c r="J1" t="s">
        <v>896</v>
      </c>
      <c r="K1" t="s">
        <v>897</v>
      </c>
    </row>
    <row r="2" spans="1:11" ht="15" thickBot="1" x14ac:dyDescent="0.35">
      <c r="A2" s="9">
        <v>45302</v>
      </c>
      <c r="B2" s="4" t="s">
        <v>3</v>
      </c>
      <c r="C2" s="3" t="s">
        <v>4</v>
      </c>
      <c r="D2" s="3" t="s">
        <v>5</v>
      </c>
      <c r="E2" s="5"/>
      <c r="F2" s="6">
        <v>25000</v>
      </c>
      <c r="G2" s="6">
        <v>25000</v>
      </c>
      <c r="H2" s="7">
        <v>0</v>
      </c>
      <c r="I2" s="3" t="s">
        <v>1</v>
      </c>
      <c r="J2" s="3" t="s">
        <v>2</v>
      </c>
      <c r="K2" s="5" t="s">
        <v>898</v>
      </c>
    </row>
    <row r="3" spans="1:11" ht="15" thickBot="1" x14ac:dyDescent="0.35">
      <c r="A3" s="9">
        <v>45302</v>
      </c>
      <c r="B3" s="4" t="s">
        <v>6</v>
      </c>
      <c r="C3" s="3" t="s">
        <v>7</v>
      </c>
      <c r="D3" s="3" t="s">
        <v>0</v>
      </c>
      <c r="E3" s="6" t="s">
        <v>8</v>
      </c>
      <c r="F3" s="6">
        <v>12500</v>
      </c>
      <c r="G3" s="6">
        <v>10000</v>
      </c>
      <c r="H3" s="6">
        <v>2500</v>
      </c>
      <c r="I3" s="3" t="s">
        <v>1</v>
      </c>
      <c r="J3" s="5"/>
      <c r="K3" s="5" t="s">
        <v>898</v>
      </c>
    </row>
    <row r="4" spans="1:11" ht="15" thickBot="1" x14ac:dyDescent="0.35">
      <c r="A4" s="9">
        <v>45333</v>
      </c>
      <c r="B4" s="4" t="s">
        <v>9</v>
      </c>
      <c r="C4" s="3" t="s">
        <v>4</v>
      </c>
      <c r="D4" s="3" t="s">
        <v>0</v>
      </c>
      <c r="E4" s="6" t="s">
        <v>10</v>
      </c>
      <c r="F4" s="6">
        <v>14750</v>
      </c>
      <c r="G4" s="6">
        <v>5000</v>
      </c>
      <c r="H4" s="6">
        <v>9750</v>
      </c>
      <c r="I4" s="3" t="s">
        <v>1</v>
      </c>
      <c r="J4" s="5"/>
      <c r="K4" s="5" t="s">
        <v>898</v>
      </c>
    </row>
    <row r="5" spans="1:11" ht="15" thickBot="1" x14ac:dyDescent="0.35">
      <c r="A5" s="9">
        <v>45546</v>
      </c>
      <c r="B5" s="4" t="s">
        <v>11</v>
      </c>
      <c r="C5" s="3" t="s">
        <v>4</v>
      </c>
      <c r="D5" s="3" t="s">
        <v>0</v>
      </c>
      <c r="E5" s="6" t="s">
        <v>10</v>
      </c>
      <c r="F5" s="6">
        <v>12500</v>
      </c>
      <c r="G5" s="6">
        <v>5000</v>
      </c>
      <c r="H5" s="11">
        <v>7500</v>
      </c>
      <c r="I5" s="3" t="s">
        <v>12</v>
      </c>
      <c r="J5" s="5"/>
      <c r="K5" s="5" t="s">
        <v>898</v>
      </c>
    </row>
    <row r="6" spans="1:11" ht="15" thickBot="1" x14ac:dyDescent="0.35">
      <c r="A6" s="3" t="s">
        <v>13</v>
      </c>
      <c r="B6" s="4" t="s">
        <v>14</v>
      </c>
      <c r="C6" s="3" t="s">
        <v>4</v>
      </c>
      <c r="D6" s="3" t="s">
        <v>0</v>
      </c>
      <c r="E6" s="6" t="s">
        <v>10</v>
      </c>
      <c r="F6" s="6">
        <v>12500</v>
      </c>
      <c r="G6" s="6">
        <v>7500</v>
      </c>
      <c r="H6" s="11">
        <v>5000</v>
      </c>
      <c r="I6" s="3" t="s">
        <v>12</v>
      </c>
      <c r="J6" s="5"/>
      <c r="K6" s="5" t="s">
        <v>898</v>
      </c>
    </row>
    <row r="7" spans="1:11" ht="15" thickBot="1" x14ac:dyDescent="0.35">
      <c r="A7" s="3" t="s">
        <v>15</v>
      </c>
      <c r="B7" s="4" t="s">
        <v>16</v>
      </c>
      <c r="C7" s="3" t="s">
        <v>4</v>
      </c>
      <c r="D7" s="3" t="s">
        <v>0</v>
      </c>
      <c r="E7" s="5"/>
      <c r="F7" s="6">
        <v>12500</v>
      </c>
      <c r="G7" s="6">
        <v>12500</v>
      </c>
      <c r="H7" s="7">
        <v>0</v>
      </c>
      <c r="I7" s="3" t="s">
        <v>12</v>
      </c>
      <c r="J7" s="3" t="s">
        <v>2</v>
      </c>
      <c r="K7" s="5" t="s">
        <v>899</v>
      </c>
    </row>
    <row r="8" spans="1:11" ht="15" thickBot="1" x14ac:dyDescent="0.35">
      <c r="A8" s="9">
        <v>45424</v>
      </c>
      <c r="B8" s="4" t="s">
        <v>17</v>
      </c>
      <c r="C8" s="3" t="s">
        <v>18</v>
      </c>
      <c r="D8" s="3" t="s">
        <v>19</v>
      </c>
      <c r="E8" s="6" t="s">
        <v>10</v>
      </c>
      <c r="F8" s="6">
        <v>10000</v>
      </c>
      <c r="G8" s="6">
        <v>7000</v>
      </c>
      <c r="H8" s="11">
        <v>3000</v>
      </c>
      <c r="I8" s="3" t="s">
        <v>20</v>
      </c>
      <c r="J8" s="5"/>
      <c r="K8" s="5" t="s">
        <v>898</v>
      </c>
    </row>
    <row r="9" spans="1:11" ht="15" thickBot="1" x14ac:dyDescent="0.35">
      <c r="A9" s="9">
        <v>45485</v>
      </c>
      <c r="B9" s="4" t="s">
        <v>21</v>
      </c>
      <c r="C9" s="3" t="s">
        <v>18</v>
      </c>
      <c r="D9" s="3" t="s">
        <v>19</v>
      </c>
      <c r="E9" s="6" t="s">
        <v>10</v>
      </c>
      <c r="F9" s="6">
        <v>9000</v>
      </c>
      <c r="G9" s="6">
        <v>5000</v>
      </c>
      <c r="H9" s="11">
        <v>4000</v>
      </c>
      <c r="I9" s="3" t="s">
        <v>20</v>
      </c>
      <c r="J9" s="5"/>
      <c r="K9" s="5" t="s">
        <v>898</v>
      </c>
    </row>
    <row r="10" spans="1:11" ht="15" thickBot="1" x14ac:dyDescent="0.35">
      <c r="A10" s="9">
        <v>45485</v>
      </c>
      <c r="B10" s="4" t="s">
        <v>22</v>
      </c>
      <c r="C10" s="3" t="s">
        <v>18</v>
      </c>
      <c r="D10" s="3" t="s">
        <v>5</v>
      </c>
      <c r="E10" s="6" t="s">
        <v>10</v>
      </c>
      <c r="F10" s="6">
        <v>30000</v>
      </c>
      <c r="G10" s="6">
        <v>20000</v>
      </c>
      <c r="H10" s="11">
        <v>10000</v>
      </c>
      <c r="I10" s="3" t="s">
        <v>23</v>
      </c>
      <c r="J10" s="3" t="s">
        <v>2</v>
      </c>
      <c r="K10" s="5" t="s">
        <v>899</v>
      </c>
    </row>
    <row r="11" spans="1:11" ht="15" thickBot="1" x14ac:dyDescent="0.35">
      <c r="A11" s="9">
        <v>45485</v>
      </c>
      <c r="B11" s="4" t="s">
        <v>24</v>
      </c>
      <c r="C11" s="3" t="s">
        <v>18</v>
      </c>
      <c r="D11" s="3" t="s">
        <v>0</v>
      </c>
      <c r="E11" s="6" t="s">
        <v>10</v>
      </c>
      <c r="F11" s="6">
        <v>12500</v>
      </c>
      <c r="G11" s="6">
        <v>5000</v>
      </c>
      <c r="H11" s="11">
        <v>7500</v>
      </c>
      <c r="I11" s="3" t="s">
        <v>12</v>
      </c>
      <c r="J11" s="5"/>
      <c r="K11" s="5" t="s">
        <v>898</v>
      </c>
    </row>
    <row r="12" spans="1:11" ht="15" thickBot="1" x14ac:dyDescent="0.35">
      <c r="A12" s="9">
        <v>45485</v>
      </c>
      <c r="B12" s="4" t="s">
        <v>25</v>
      </c>
      <c r="C12" s="3" t="s">
        <v>18</v>
      </c>
      <c r="D12" s="3" t="s">
        <v>5</v>
      </c>
      <c r="E12" s="6" t="s">
        <v>10</v>
      </c>
      <c r="F12" s="6">
        <v>30000</v>
      </c>
      <c r="G12" s="6">
        <v>10000</v>
      </c>
      <c r="H12" s="11">
        <v>20000</v>
      </c>
      <c r="I12" s="3" t="s">
        <v>23</v>
      </c>
      <c r="J12" s="5"/>
      <c r="K12" s="5" t="s">
        <v>899</v>
      </c>
    </row>
    <row r="13" spans="1:11" ht="15" thickBot="1" x14ac:dyDescent="0.35">
      <c r="A13" s="9">
        <v>45577</v>
      </c>
      <c r="B13" s="4" t="s">
        <v>26</v>
      </c>
      <c r="C13" s="3" t="s">
        <v>18</v>
      </c>
      <c r="D13" s="3" t="s">
        <v>0</v>
      </c>
      <c r="E13" s="6" t="s">
        <v>10</v>
      </c>
      <c r="F13" s="6">
        <v>12500</v>
      </c>
      <c r="G13" s="6">
        <v>12500</v>
      </c>
      <c r="H13" s="7">
        <v>0</v>
      </c>
      <c r="I13" s="3" t="s">
        <v>27</v>
      </c>
      <c r="J13" s="3" t="s">
        <v>2</v>
      </c>
      <c r="K13" s="5" t="s">
        <v>899</v>
      </c>
    </row>
    <row r="14" spans="1:11" ht="15" thickBot="1" x14ac:dyDescent="0.35">
      <c r="A14" s="12">
        <v>45608</v>
      </c>
      <c r="B14" s="13" t="s">
        <v>28</v>
      </c>
      <c r="C14" s="3" t="s">
        <v>18</v>
      </c>
      <c r="D14" s="3" t="s">
        <v>29</v>
      </c>
      <c r="E14" s="5"/>
      <c r="F14" s="14">
        <v>10000</v>
      </c>
      <c r="G14" s="14">
        <v>10000</v>
      </c>
      <c r="H14" s="7">
        <v>0</v>
      </c>
      <c r="I14" s="3" t="s">
        <v>30</v>
      </c>
      <c r="J14" s="3" t="s">
        <v>2</v>
      </c>
      <c r="K14" s="5" t="s">
        <v>898</v>
      </c>
    </row>
    <row r="15" spans="1:11" ht="15" thickBot="1" x14ac:dyDescent="0.35">
      <c r="A15" s="15" t="s">
        <v>31</v>
      </c>
      <c r="B15" s="16" t="s">
        <v>32</v>
      </c>
      <c r="C15" s="15" t="s">
        <v>18</v>
      </c>
      <c r="D15" s="15" t="s">
        <v>33</v>
      </c>
      <c r="E15" s="17" t="s">
        <v>10</v>
      </c>
      <c r="F15" s="17">
        <v>10000</v>
      </c>
      <c r="G15" s="17">
        <v>2500</v>
      </c>
      <c r="H15" s="17">
        <v>7500</v>
      </c>
      <c r="I15" s="18"/>
      <c r="J15" s="18"/>
      <c r="K15" s="5" t="s">
        <v>898</v>
      </c>
    </row>
    <row r="16" spans="1:11" ht="15" thickBot="1" x14ac:dyDescent="0.35">
      <c r="A16" s="3" t="s">
        <v>31</v>
      </c>
      <c r="B16" s="4" t="s">
        <v>34</v>
      </c>
      <c r="C16" s="3" t="s">
        <v>18</v>
      </c>
      <c r="D16" s="3" t="s">
        <v>29</v>
      </c>
      <c r="E16" s="5"/>
      <c r="F16" s="6">
        <v>10000</v>
      </c>
      <c r="G16" s="6">
        <v>10000</v>
      </c>
      <c r="H16" s="7">
        <v>0</v>
      </c>
      <c r="I16" s="3" t="s">
        <v>30</v>
      </c>
      <c r="J16" s="3" t="s">
        <v>2</v>
      </c>
      <c r="K16" s="5" t="s">
        <v>898</v>
      </c>
    </row>
    <row r="17" spans="1:11" ht="15" thickBot="1" x14ac:dyDescent="0.35">
      <c r="A17" s="3" t="s">
        <v>31</v>
      </c>
      <c r="B17" s="4" t="s">
        <v>35</v>
      </c>
      <c r="C17" s="3" t="s">
        <v>18</v>
      </c>
      <c r="D17" s="3" t="s">
        <v>29</v>
      </c>
      <c r="E17" s="5"/>
      <c r="F17" s="6">
        <v>10000</v>
      </c>
      <c r="G17" s="6">
        <v>10000</v>
      </c>
      <c r="H17" s="7">
        <v>0</v>
      </c>
      <c r="I17" s="3" t="s">
        <v>30</v>
      </c>
      <c r="J17" s="3" t="s">
        <v>2</v>
      </c>
      <c r="K17" s="5" t="s">
        <v>898</v>
      </c>
    </row>
    <row r="18" spans="1:11" ht="15" thickBot="1" x14ac:dyDescent="0.35">
      <c r="A18" s="3" t="s">
        <v>36</v>
      </c>
      <c r="B18" s="4" t="s">
        <v>37</v>
      </c>
      <c r="C18" s="3" t="s">
        <v>18</v>
      </c>
      <c r="D18" s="3" t="s">
        <v>29</v>
      </c>
      <c r="E18" s="6" t="s">
        <v>10</v>
      </c>
      <c r="F18" s="6">
        <v>10030</v>
      </c>
      <c r="G18" s="6">
        <v>5000</v>
      </c>
      <c r="H18" s="6">
        <v>5030</v>
      </c>
      <c r="I18" s="3" t="s">
        <v>30</v>
      </c>
      <c r="J18" s="5"/>
      <c r="K18" s="5" t="s">
        <v>898</v>
      </c>
    </row>
    <row r="19" spans="1:11" ht="15" thickBot="1" x14ac:dyDescent="0.35">
      <c r="A19" s="2" t="s">
        <v>36</v>
      </c>
      <c r="B19" s="13" t="s">
        <v>38</v>
      </c>
      <c r="C19" s="3" t="s">
        <v>18</v>
      </c>
      <c r="D19" s="3" t="s">
        <v>29</v>
      </c>
      <c r="E19" s="5"/>
      <c r="F19" s="14">
        <v>11800</v>
      </c>
      <c r="G19" s="14">
        <v>11800</v>
      </c>
      <c r="H19" s="7">
        <v>0</v>
      </c>
      <c r="I19" s="3" t="s">
        <v>30</v>
      </c>
      <c r="J19" s="3" t="s">
        <v>2</v>
      </c>
      <c r="K19" s="5" t="s">
        <v>898</v>
      </c>
    </row>
    <row r="20" spans="1:11" ht="15" thickBot="1" x14ac:dyDescent="0.35">
      <c r="A20" s="3" t="s">
        <v>36</v>
      </c>
      <c r="B20" s="19" t="s">
        <v>39</v>
      </c>
      <c r="C20" s="3" t="s">
        <v>18</v>
      </c>
      <c r="D20" s="3" t="s">
        <v>33</v>
      </c>
      <c r="E20" s="6" t="s">
        <v>10</v>
      </c>
      <c r="F20" s="6">
        <v>25000</v>
      </c>
      <c r="G20" s="6">
        <v>1000</v>
      </c>
      <c r="H20" s="6">
        <v>24000</v>
      </c>
      <c r="I20" s="5"/>
      <c r="J20" s="5"/>
      <c r="K20" s="5" t="s">
        <v>898</v>
      </c>
    </row>
    <row r="21" spans="1:11" ht="15" thickBot="1" x14ac:dyDescent="0.35">
      <c r="A21" s="3" t="s">
        <v>40</v>
      </c>
      <c r="B21" s="4" t="s">
        <v>41</v>
      </c>
      <c r="C21" s="3" t="s">
        <v>18</v>
      </c>
      <c r="D21" s="3" t="s">
        <v>29</v>
      </c>
      <c r="E21" s="6" t="s">
        <v>10</v>
      </c>
      <c r="F21" s="6">
        <v>11800</v>
      </c>
      <c r="G21" s="6">
        <v>2000</v>
      </c>
      <c r="H21" s="6">
        <v>9800</v>
      </c>
      <c r="I21" s="3" t="s">
        <v>30</v>
      </c>
      <c r="J21" s="5"/>
      <c r="K21" s="5" t="s">
        <v>898</v>
      </c>
    </row>
    <row r="22" spans="1:11" ht="15" thickBot="1" x14ac:dyDescent="0.35">
      <c r="A22" s="3" t="s">
        <v>42</v>
      </c>
      <c r="B22" s="4" t="s">
        <v>43</v>
      </c>
      <c r="C22" s="3" t="s">
        <v>18</v>
      </c>
      <c r="D22" s="3" t="s">
        <v>19</v>
      </c>
      <c r="E22" s="5"/>
      <c r="F22" s="6">
        <v>11800</v>
      </c>
      <c r="G22" s="6">
        <v>11800</v>
      </c>
      <c r="H22" s="7">
        <v>0</v>
      </c>
      <c r="I22" s="3" t="s">
        <v>20</v>
      </c>
      <c r="J22" s="3" t="s">
        <v>2</v>
      </c>
      <c r="K22" s="5" t="s">
        <v>898</v>
      </c>
    </row>
    <row r="23" spans="1:11" ht="15" thickBot="1" x14ac:dyDescent="0.35">
      <c r="A23" s="3" t="s">
        <v>42</v>
      </c>
      <c r="B23" s="4" t="s">
        <v>44</v>
      </c>
      <c r="C23" s="3" t="s">
        <v>18</v>
      </c>
      <c r="D23" s="3" t="s">
        <v>29</v>
      </c>
      <c r="E23" s="5"/>
      <c r="F23" s="6">
        <v>10000</v>
      </c>
      <c r="G23" s="6">
        <v>10000</v>
      </c>
      <c r="H23" s="7">
        <v>0</v>
      </c>
      <c r="I23" s="3" t="s">
        <v>30</v>
      </c>
      <c r="J23" s="3" t="s">
        <v>2</v>
      </c>
      <c r="K23" s="5" t="s">
        <v>898</v>
      </c>
    </row>
    <row r="24" spans="1:11" ht="15" thickBot="1" x14ac:dyDescent="0.35">
      <c r="A24" s="3" t="s">
        <v>45</v>
      </c>
      <c r="B24" s="4" t="s">
        <v>46</v>
      </c>
      <c r="C24" s="3" t="s">
        <v>18</v>
      </c>
      <c r="D24" s="3" t="s">
        <v>29</v>
      </c>
      <c r="E24" s="5" t="s">
        <v>10</v>
      </c>
      <c r="F24" s="6">
        <v>11800</v>
      </c>
      <c r="G24" s="6">
        <v>4000</v>
      </c>
      <c r="H24" s="6">
        <v>7800</v>
      </c>
      <c r="I24" s="5"/>
      <c r="J24" s="5"/>
      <c r="K24" s="5" t="s">
        <v>898</v>
      </c>
    </row>
    <row r="25" spans="1:11" ht="15" thickBot="1" x14ac:dyDescent="0.35">
      <c r="A25" s="3" t="s">
        <v>47</v>
      </c>
      <c r="B25" s="4" t="s">
        <v>48</v>
      </c>
      <c r="C25" s="3" t="s">
        <v>18</v>
      </c>
      <c r="D25" s="3" t="s">
        <v>5</v>
      </c>
      <c r="E25" s="5" t="s">
        <v>49</v>
      </c>
      <c r="F25" s="6">
        <v>35400</v>
      </c>
      <c r="G25" s="6">
        <v>5000</v>
      </c>
      <c r="H25" s="6">
        <v>30400</v>
      </c>
      <c r="I25" s="3" t="s">
        <v>23</v>
      </c>
      <c r="J25" s="5"/>
      <c r="K25" s="5" t="s">
        <v>898</v>
      </c>
    </row>
    <row r="26" spans="1:11" ht="15" thickBot="1" x14ac:dyDescent="0.35">
      <c r="A26" s="3" t="s">
        <v>47</v>
      </c>
      <c r="B26" s="4" t="s">
        <v>50</v>
      </c>
      <c r="C26" s="3" t="s">
        <v>18</v>
      </c>
      <c r="D26" s="3" t="s">
        <v>5</v>
      </c>
      <c r="E26" s="5" t="s">
        <v>49</v>
      </c>
      <c r="F26" s="6">
        <v>35400</v>
      </c>
      <c r="G26" s="6">
        <v>7500</v>
      </c>
      <c r="H26" s="6">
        <v>27900</v>
      </c>
      <c r="I26" s="3" t="s">
        <v>23</v>
      </c>
      <c r="J26" s="5"/>
      <c r="K26" s="5" t="s">
        <v>898</v>
      </c>
    </row>
    <row r="27" spans="1:11" ht="15" thickBot="1" x14ac:dyDescent="0.35">
      <c r="A27" s="15" t="s">
        <v>47</v>
      </c>
      <c r="B27" s="16" t="s">
        <v>51</v>
      </c>
      <c r="C27" s="15" t="s">
        <v>18</v>
      </c>
      <c r="D27" s="15" t="s">
        <v>29</v>
      </c>
      <c r="E27" s="18" t="s">
        <v>49</v>
      </c>
      <c r="F27" s="17">
        <v>11800</v>
      </c>
      <c r="G27" s="17">
        <v>2000</v>
      </c>
      <c r="H27" s="17">
        <v>9800</v>
      </c>
      <c r="I27" s="18"/>
      <c r="J27" s="18"/>
      <c r="K27" s="5" t="s">
        <v>898</v>
      </c>
    </row>
    <row r="28" spans="1:11" ht="15" thickBot="1" x14ac:dyDescent="0.35">
      <c r="A28" s="3" t="s">
        <v>52</v>
      </c>
      <c r="B28" s="4" t="s">
        <v>53</v>
      </c>
      <c r="C28" s="3" t="s">
        <v>18</v>
      </c>
      <c r="D28" s="3" t="s">
        <v>0</v>
      </c>
      <c r="E28" s="5" t="s">
        <v>49</v>
      </c>
      <c r="F28" s="6">
        <v>14750</v>
      </c>
      <c r="G28" s="6">
        <v>2000</v>
      </c>
      <c r="H28" s="6">
        <v>12750</v>
      </c>
      <c r="I28" s="3" t="s">
        <v>12</v>
      </c>
      <c r="J28" s="5"/>
      <c r="K28" s="5" t="s">
        <v>898</v>
      </c>
    </row>
    <row r="29" spans="1:11" ht="15" thickBot="1" x14ac:dyDescent="0.35">
      <c r="A29" s="3" t="s">
        <v>52</v>
      </c>
      <c r="B29" s="4" t="s">
        <v>54</v>
      </c>
      <c r="C29" s="3" t="s">
        <v>18</v>
      </c>
      <c r="D29" s="3" t="s">
        <v>33</v>
      </c>
      <c r="E29" s="5" t="s">
        <v>49</v>
      </c>
      <c r="F29" s="6">
        <v>29500</v>
      </c>
      <c r="G29" s="6">
        <v>20000</v>
      </c>
      <c r="H29" s="6">
        <v>9500</v>
      </c>
      <c r="I29" s="3" t="s">
        <v>30</v>
      </c>
      <c r="J29" s="3" t="s">
        <v>2</v>
      </c>
      <c r="K29" s="5" t="s">
        <v>898</v>
      </c>
    </row>
    <row r="30" spans="1:11" ht="15" thickBot="1" x14ac:dyDescent="0.35">
      <c r="A30" s="3" t="s">
        <v>52</v>
      </c>
      <c r="B30" s="4" t="s">
        <v>55</v>
      </c>
      <c r="C30" s="3" t="s">
        <v>18</v>
      </c>
      <c r="D30" s="3" t="s">
        <v>19</v>
      </c>
      <c r="E30" s="5"/>
      <c r="F30" s="6">
        <v>11800</v>
      </c>
      <c r="G30" s="6">
        <v>11800</v>
      </c>
      <c r="H30" s="7">
        <v>0</v>
      </c>
      <c r="I30" s="3" t="s">
        <v>56</v>
      </c>
      <c r="J30" s="3" t="s">
        <v>2</v>
      </c>
      <c r="K30" s="5" t="s">
        <v>899</v>
      </c>
    </row>
    <row r="31" spans="1:11" ht="15" thickBot="1" x14ac:dyDescent="0.35">
      <c r="A31" s="3" t="s">
        <v>57</v>
      </c>
      <c r="B31" s="4" t="s">
        <v>58</v>
      </c>
      <c r="C31" s="3" t="s">
        <v>18</v>
      </c>
      <c r="D31" s="3" t="s">
        <v>29</v>
      </c>
      <c r="E31" s="5"/>
      <c r="F31" s="6">
        <v>11800</v>
      </c>
      <c r="G31" s="6">
        <v>11800</v>
      </c>
      <c r="H31" s="7">
        <v>0</v>
      </c>
      <c r="I31" s="3" t="s">
        <v>30</v>
      </c>
      <c r="J31" s="3" t="s">
        <v>2</v>
      </c>
      <c r="K31" s="5" t="s">
        <v>898</v>
      </c>
    </row>
    <row r="32" spans="1:11" ht="15" thickBot="1" x14ac:dyDescent="0.35">
      <c r="A32" s="20" t="s">
        <v>59</v>
      </c>
      <c r="B32" s="19" t="s">
        <v>60</v>
      </c>
      <c r="C32" s="20" t="s">
        <v>18</v>
      </c>
      <c r="D32" s="20" t="s">
        <v>0</v>
      </c>
      <c r="E32" s="21"/>
      <c r="F32" s="21"/>
      <c r="G32" s="21"/>
      <c r="H32" s="7">
        <v>0</v>
      </c>
      <c r="I32" s="21"/>
      <c r="J32" s="20" t="s">
        <v>61</v>
      </c>
      <c r="K32" s="5" t="s">
        <v>898</v>
      </c>
    </row>
    <row r="33" spans="1:11" ht="15" thickBot="1" x14ac:dyDescent="0.35">
      <c r="A33" s="3" t="s">
        <v>62</v>
      </c>
      <c r="B33" s="4" t="s">
        <v>63</v>
      </c>
      <c r="C33" s="3" t="s">
        <v>18</v>
      </c>
      <c r="D33" s="3" t="s">
        <v>29</v>
      </c>
      <c r="E33" s="5"/>
      <c r="F33" s="6">
        <v>11800</v>
      </c>
      <c r="G33" s="6">
        <v>11800</v>
      </c>
      <c r="H33" s="7">
        <v>0</v>
      </c>
      <c r="I33" s="3" t="s">
        <v>64</v>
      </c>
      <c r="J33" s="3" t="s">
        <v>2</v>
      </c>
      <c r="K33" s="5" t="s">
        <v>899</v>
      </c>
    </row>
    <row r="34" spans="1:11" ht="15" thickBot="1" x14ac:dyDescent="0.35">
      <c r="A34" s="3" t="s">
        <v>62</v>
      </c>
      <c r="B34" s="4" t="s">
        <v>65</v>
      </c>
      <c r="C34" s="3" t="s">
        <v>18</v>
      </c>
      <c r="D34" s="3" t="s">
        <v>29</v>
      </c>
      <c r="E34" s="5"/>
      <c r="F34" s="6">
        <v>11800</v>
      </c>
      <c r="G34" s="6">
        <v>11800</v>
      </c>
      <c r="H34" s="7">
        <v>0</v>
      </c>
      <c r="I34" s="3" t="s">
        <v>64</v>
      </c>
      <c r="J34" s="3" t="s">
        <v>2</v>
      </c>
      <c r="K34" s="5" t="s">
        <v>898</v>
      </c>
    </row>
    <row r="35" spans="1:11" ht="15" thickBot="1" x14ac:dyDescent="0.35">
      <c r="A35" s="9">
        <v>45658</v>
      </c>
      <c r="B35" s="4" t="s">
        <v>66</v>
      </c>
      <c r="C35" s="3" t="s">
        <v>67</v>
      </c>
      <c r="D35" s="3" t="s">
        <v>19</v>
      </c>
      <c r="E35" s="5" t="s">
        <v>49</v>
      </c>
      <c r="F35" s="6">
        <v>11800</v>
      </c>
      <c r="G35" s="6">
        <v>7000</v>
      </c>
      <c r="H35" s="6">
        <v>4800</v>
      </c>
      <c r="I35" s="3" t="s">
        <v>56</v>
      </c>
      <c r="J35" s="5"/>
      <c r="K35" s="5" t="s">
        <v>898</v>
      </c>
    </row>
    <row r="36" spans="1:11" ht="15" thickBot="1" x14ac:dyDescent="0.35">
      <c r="A36" s="9">
        <v>45689</v>
      </c>
      <c r="B36" s="4" t="s">
        <v>68</v>
      </c>
      <c r="C36" s="3" t="s">
        <v>67</v>
      </c>
      <c r="D36" s="3" t="s">
        <v>29</v>
      </c>
      <c r="E36" s="5" t="s">
        <v>49</v>
      </c>
      <c r="F36" s="6">
        <v>11800</v>
      </c>
      <c r="G36" s="6">
        <v>500</v>
      </c>
      <c r="H36" s="6">
        <v>11300</v>
      </c>
      <c r="I36" s="3" t="s">
        <v>64</v>
      </c>
      <c r="J36" s="5"/>
      <c r="K36" s="5" t="s">
        <v>898</v>
      </c>
    </row>
    <row r="37" spans="1:11" ht="15" thickBot="1" x14ac:dyDescent="0.35">
      <c r="A37" s="9">
        <v>45689</v>
      </c>
      <c r="B37" s="4" t="s">
        <v>69</v>
      </c>
      <c r="C37" s="3" t="s">
        <v>67</v>
      </c>
      <c r="D37" s="3" t="s">
        <v>29</v>
      </c>
      <c r="E37" s="5" t="s">
        <v>49</v>
      </c>
      <c r="F37" s="6">
        <v>11800</v>
      </c>
      <c r="G37" s="6">
        <v>2000</v>
      </c>
      <c r="H37" s="6">
        <v>9800</v>
      </c>
      <c r="I37" s="3" t="s">
        <v>64</v>
      </c>
      <c r="J37" s="5"/>
      <c r="K37" s="5" t="s">
        <v>898</v>
      </c>
    </row>
    <row r="38" spans="1:11" ht="15" thickBot="1" x14ac:dyDescent="0.35">
      <c r="A38" s="9">
        <v>45689</v>
      </c>
      <c r="B38" s="4" t="s">
        <v>70</v>
      </c>
      <c r="C38" s="3" t="s">
        <v>67</v>
      </c>
      <c r="D38" s="3" t="s">
        <v>29</v>
      </c>
      <c r="E38" s="5"/>
      <c r="F38" s="6">
        <v>11800</v>
      </c>
      <c r="G38" s="6">
        <v>11800</v>
      </c>
      <c r="H38" s="7">
        <v>0</v>
      </c>
      <c r="I38" s="3" t="s">
        <v>64</v>
      </c>
      <c r="J38" s="3" t="s">
        <v>2</v>
      </c>
      <c r="K38" s="5" t="s">
        <v>898</v>
      </c>
    </row>
    <row r="39" spans="1:11" ht="15" thickBot="1" x14ac:dyDescent="0.35">
      <c r="A39" s="9">
        <v>45717</v>
      </c>
      <c r="B39" s="4" t="s">
        <v>71</v>
      </c>
      <c r="C39" s="3" t="s">
        <v>67</v>
      </c>
      <c r="D39" s="3" t="s">
        <v>29</v>
      </c>
      <c r="E39" s="5" t="s">
        <v>49</v>
      </c>
      <c r="F39" s="6">
        <v>11800</v>
      </c>
      <c r="G39" s="6">
        <v>2000</v>
      </c>
      <c r="H39" s="6">
        <v>9800</v>
      </c>
      <c r="I39" s="3" t="s">
        <v>64</v>
      </c>
      <c r="J39" s="5"/>
      <c r="K39" s="5" t="s">
        <v>898</v>
      </c>
    </row>
    <row r="40" spans="1:11" ht="15" thickBot="1" x14ac:dyDescent="0.35">
      <c r="A40" s="9">
        <v>45748</v>
      </c>
      <c r="B40" s="4" t="s">
        <v>72</v>
      </c>
      <c r="C40" s="3" t="s">
        <v>67</v>
      </c>
      <c r="D40" s="3" t="s">
        <v>29</v>
      </c>
      <c r="E40" s="5"/>
      <c r="F40" s="6">
        <v>11800</v>
      </c>
      <c r="G40" s="6">
        <v>11800</v>
      </c>
      <c r="H40" s="7">
        <v>0</v>
      </c>
      <c r="I40" s="3" t="s">
        <v>64</v>
      </c>
      <c r="J40" s="3" t="s">
        <v>2</v>
      </c>
      <c r="K40" s="5" t="s">
        <v>899</v>
      </c>
    </row>
    <row r="41" spans="1:11" ht="15" thickBot="1" x14ac:dyDescent="0.35">
      <c r="A41" s="9">
        <v>45748</v>
      </c>
      <c r="B41" s="4" t="s">
        <v>73</v>
      </c>
      <c r="C41" s="3" t="s">
        <v>67</v>
      </c>
      <c r="D41" s="3" t="s">
        <v>29</v>
      </c>
      <c r="E41" s="5"/>
      <c r="F41" s="6">
        <v>11800</v>
      </c>
      <c r="G41" s="6">
        <v>11800</v>
      </c>
      <c r="H41" s="7">
        <v>0</v>
      </c>
      <c r="I41" s="3" t="s">
        <v>64</v>
      </c>
      <c r="J41" s="3" t="s">
        <v>2</v>
      </c>
      <c r="K41" s="5" t="s">
        <v>899</v>
      </c>
    </row>
    <row r="42" spans="1:11" ht="15" thickBot="1" x14ac:dyDescent="0.35">
      <c r="A42" s="9">
        <v>45748</v>
      </c>
      <c r="B42" s="4" t="s">
        <v>74</v>
      </c>
      <c r="C42" s="3" t="s">
        <v>67</v>
      </c>
      <c r="D42" s="3" t="s">
        <v>19</v>
      </c>
      <c r="E42" s="5" t="s">
        <v>49</v>
      </c>
      <c r="F42" s="6">
        <v>11800</v>
      </c>
      <c r="G42" s="6">
        <v>5000</v>
      </c>
      <c r="H42" s="6">
        <v>6800</v>
      </c>
      <c r="I42" s="3" t="s">
        <v>56</v>
      </c>
      <c r="J42" s="5"/>
      <c r="K42" s="5" t="s">
        <v>898</v>
      </c>
    </row>
    <row r="43" spans="1:11" ht="15" thickBot="1" x14ac:dyDescent="0.35">
      <c r="A43" s="22">
        <v>45839</v>
      </c>
      <c r="B43" s="19" t="s">
        <v>75</v>
      </c>
      <c r="C43" s="20" t="s">
        <v>67</v>
      </c>
      <c r="D43" s="20" t="s">
        <v>29</v>
      </c>
      <c r="E43" s="21" t="s">
        <v>49</v>
      </c>
      <c r="F43" s="11">
        <v>11800</v>
      </c>
      <c r="G43" s="11">
        <v>2000</v>
      </c>
      <c r="H43" s="11">
        <v>9800</v>
      </c>
      <c r="I43" s="20" t="s">
        <v>64</v>
      </c>
      <c r="J43" s="21"/>
      <c r="K43" s="5" t="s">
        <v>898</v>
      </c>
    </row>
    <row r="44" spans="1:11" ht="15" thickBot="1" x14ac:dyDescent="0.35">
      <c r="A44" s="9">
        <v>45839</v>
      </c>
      <c r="B44" s="4" t="s">
        <v>76</v>
      </c>
      <c r="C44" s="3" t="s">
        <v>67</v>
      </c>
      <c r="D44" s="3" t="s">
        <v>29</v>
      </c>
      <c r="E44" s="5" t="s">
        <v>49</v>
      </c>
      <c r="F44" s="6">
        <v>11800</v>
      </c>
      <c r="G44" s="6">
        <v>1000</v>
      </c>
      <c r="H44" s="6">
        <v>10800</v>
      </c>
      <c r="I44" s="3" t="s">
        <v>64</v>
      </c>
      <c r="J44" s="5"/>
      <c r="K44" s="5" t="s">
        <v>898</v>
      </c>
    </row>
    <row r="45" spans="1:11" ht="15" thickBot="1" x14ac:dyDescent="0.35">
      <c r="A45" s="9">
        <v>45901</v>
      </c>
      <c r="B45" s="4" t="s">
        <v>77</v>
      </c>
      <c r="C45" s="3" t="s">
        <v>67</v>
      </c>
      <c r="D45" s="3" t="s">
        <v>29</v>
      </c>
      <c r="E45" s="5"/>
      <c r="F45" s="6">
        <v>11800</v>
      </c>
      <c r="G45" s="6">
        <v>11800</v>
      </c>
      <c r="H45" s="7">
        <v>0</v>
      </c>
      <c r="I45" s="3" t="s">
        <v>64</v>
      </c>
      <c r="J45" s="3" t="s">
        <v>2</v>
      </c>
      <c r="K45" s="5" t="s">
        <v>898</v>
      </c>
    </row>
    <row r="46" spans="1:11" ht="15" thickBot="1" x14ac:dyDescent="0.35">
      <c r="A46" s="9">
        <v>45901</v>
      </c>
      <c r="B46" s="4" t="s">
        <v>78</v>
      </c>
      <c r="C46" s="3" t="s">
        <v>67</v>
      </c>
      <c r="D46" s="3" t="s">
        <v>29</v>
      </c>
      <c r="E46" s="5" t="s">
        <v>49</v>
      </c>
      <c r="F46" s="6">
        <v>11800</v>
      </c>
      <c r="G46" s="6">
        <v>5000</v>
      </c>
      <c r="H46" s="6">
        <v>6800</v>
      </c>
      <c r="I46" s="3" t="s">
        <v>64</v>
      </c>
      <c r="J46" s="5"/>
      <c r="K46" s="5" t="s">
        <v>898</v>
      </c>
    </row>
    <row r="47" spans="1:11" ht="15" thickBot="1" x14ac:dyDescent="0.35">
      <c r="A47" s="9">
        <v>45931</v>
      </c>
      <c r="B47" s="4" t="s">
        <v>79</v>
      </c>
      <c r="C47" s="3" t="s">
        <v>67</v>
      </c>
      <c r="D47" s="3" t="s">
        <v>29</v>
      </c>
      <c r="E47" s="5" t="s">
        <v>8</v>
      </c>
      <c r="F47" s="6">
        <v>11800</v>
      </c>
      <c r="G47" s="6">
        <v>5000</v>
      </c>
      <c r="H47" s="6">
        <v>6800</v>
      </c>
      <c r="I47" s="3" t="s">
        <v>64</v>
      </c>
      <c r="J47" s="5"/>
      <c r="K47" s="5" t="s">
        <v>898</v>
      </c>
    </row>
    <row r="48" spans="1:11" ht="15" thickBot="1" x14ac:dyDescent="0.35">
      <c r="A48" s="9">
        <v>45931</v>
      </c>
      <c r="B48" s="4" t="s">
        <v>80</v>
      </c>
      <c r="C48" s="3" t="s">
        <v>67</v>
      </c>
      <c r="D48" s="3" t="s">
        <v>19</v>
      </c>
      <c r="E48" s="5" t="s">
        <v>49</v>
      </c>
      <c r="F48" s="6">
        <v>11800</v>
      </c>
      <c r="G48" s="6">
        <v>2000</v>
      </c>
      <c r="H48" s="6">
        <v>9800</v>
      </c>
      <c r="I48" s="3" t="s">
        <v>56</v>
      </c>
      <c r="J48" s="5"/>
      <c r="K48" s="5" t="s">
        <v>898</v>
      </c>
    </row>
    <row r="49" spans="1:11" ht="15" thickBot="1" x14ac:dyDescent="0.35">
      <c r="A49" s="9">
        <v>45931</v>
      </c>
      <c r="B49" s="4" t="s">
        <v>81</v>
      </c>
      <c r="C49" s="3" t="s">
        <v>67</v>
      </c>
      <c r="D49" s="3" t="s">
        <v>29</v>
      </c>
      <c r="E49" s="5"/>
      <c r="F49" s="6">
        <v>11800</v>
      </c>
      <c r="G49" s="6">
        <v>11800</v>
      </c>
      <c r="H49" s="7">
        <v>0</v>
      </c>
      <c r="I49" s="3" t="s">
        <v>64</v>
      </c>
      <c r="J49" s="3" t="s">
        <v>2</v>
      </c>
      <c r="K49" s="5" t="s">
        <v>898</v>
      </c>
    </row>
    <row r="50" spans="1:11" ht="15" thickBot="1" x14ac:dyDescent="0.35">
      <c r="A50" s="9">
        <v>45931</v>
      </c>
      <c r="B50" s="4" t="s">
        <v>82</v>
      </c>
      <c r="C50" s="3" t="s">
        <v>67</v>
      </c>
      <c r="D50" s="3" t="s">
        <v>29</v>
      </c>
      <c r="E50" s="5" t="s">
        <v>8</v>
      </c>
      <c r="F50" s="6">
        <v>11800</v>
      </c>
      <c r="G50" s="6">
        <v>1000</v>
      </c>
      <c r="H50" s="6">
        <v>10800</v>
      </c>
      <c r="I50" s="5"/>
      <c r="J50" s="5"/>
      <c r="K50" s="5" t="s">
        <v>898</v>
      </c>
    </row>
    <row r="51" spans="1:11" ht="15" thickBot="1" x14ac:dyDescent="0.35">
      <c r="A51" s="3" t="s">
        <v>83</v>
      </c>
      <c r="B51" s="4" t="s">
        <v>84</v>
      </c>
      <c r="C51" s="3" t="s">
        <v>67</v>
      </c>
      <c r="D51" s="3" t="s">
        <v>29</v>
      </c>
      <c r="E51" s="5"/>
      <c r="F51" s="6">
        <v>11800</v>
      </c>
      <c r="G51" s="6">
        <v>11800</v>
      </c>
      <c r="H51" s="7">
        <v>0</v>
      </c>
      <c r="I51" s="3" t="s">
        <v>64</v>
      </c>
      <c r="J51" s="3" t="s">
        <v>2</v>
      </c>
      <c r="K51" s="5" t="s">
        <v>898</v>
      </c>
    </row>
    <row r="52" spans="1:11" ht="15" thickBot="1" x14ac:dyDescent="0.35">
      <c r="A52" s="3" t="s">
        <v>83</v>
      </c>
      <c r="B52" s="4" t="s">
        <v>85</v>
      </c>
      <c r="C52" s="3" t="s">
        <v>67</v>
      </c>
      <c r="D52" s="3" t="s">
        <v>29</v>
      </c>
      <c r="E52" s="5"/>
      <c r="F52" s="6">
        <v>11800</v>
      </c>
      <c r="G52" s="6">
        <v>11800</v>
      </c>
      <c r="H52" s="7">
        <v>0</v>
      </c>
      <c r="I52" s="3" t="s">
        <v>64</v>
      </c>
      <c r="J52" s="3" t="s">
        <v>2</v>
      </c>
      <c r="K52" s="5" t="s">
        <v>898</v>
      </c>
    </row>
    <row r="53" spans="1:11" ht="15" thickBot="1" x14ac:dyDescent="0.35">
      <c r="A53" s="3" t="s">
        <v>86</v>
      </c>
      <c r="B53" s="4" t="s">
        <v>87</v>
      </c>
      <c r="C53" s="3" t="s">
        <v>67</v>
      </c>
      <c r="D53" s="3" t="s">
        <v>29</v>
      </c>
      <c r="E53" s="5" t="s">
        <v>8</v>
      </c>
      <c r="F53" s="6">
        <v>11800</v>
      </c>
      <c r="G53" s="6">
        <v>7500</v>
      </c>
      <c r="H53" s="6">
        <v>4300</v>
      </c>
      <c r="I53" s="3" t="s">
        <v>88</v>
      </c>
      <c r="J53" s="5"/>
      <c r="K53" s="5" t="s">
        <v>898</v>
      </c>
    </row>
    <row r="54" spans="1:11" ht="15" thickBot="1" x14ac:dyDescent="0.35">
      <c r="A54" s="8" t="s">
        <v>89</v>
      </c>
      <c r="B54" s="4" t="s">
        <v>90</v>
      </c>
      <c r="C54" s="3" t="s">
        <v>67</v>
      </c>
      <c r="D54" s="3" t="s">
        <v>29</v>
      </c>
      <c r="E54" s="5" t="s">
        <v>8</v>
      </c>
      <c r="F54" s="6">
        <v>11800</v>
      </c>
      <c r="G54" s="6">
        <v>2000</v>
      </c>
      <c r="H54" s="6">
        <v>9800</v>
      </c>
      <c r="I54" s="3" t="s">
        <v>91</v>
      </c>
      <c r="J54" s="5"/>
      <c r="K54" s="5" t="s">
        <v>899</v>
      </c>
    </row>
    <row r="55" spans="1:11" ht="15" thickBot="1" x14ac:dyDescent="0.35">
      <c r="A55" s="3" t="s">
        <v>86</v>
      </c>
      <c r="B55" s="4" t="s">
        <v>92</v>
      </c>
      <c r="C55" s="3" t="s">
        <v>67</v>
      </c>
      <c r="D55" s="3" t="s">
        <v>19</v>
      </c>
      <c r="E55" s="5" t="s">
        <v>49</v>
      </c>
      <c r="F55" s="6">
        <v>11800</v>
      </c>
      <c r="G55" s="6">
        <v>6900</v>
      </c>
      <c r="H55" s="6">
        <v>4900</v>
      </c>
      <c r="I55" s="3" t="s">
        <v>93</v>
      </c>
      <c r="J55" s="5"/>
      <c r="K55" s="5" t="s">
        <v>899</v>
      </c>
    </row>
    <row r="56" spans="1:11" ht="15" thickBot="1" x14ac:dyDescent="0.35">
      <c r="A56" s="3" t="s">
        <v>89</v>
      </c>
      <c r="B56" s="4" t="s">
        <v>94</v>
      </c>
      <c r="C56" s="3" t="s">
        <v>67</v>
      </c>
      <c r="D56" s="3" t="s">
        <v>19</v>
      </c>
      <c r="E56" s="5" t="s">
        <v>49</v>
      </c>
      <c r="F56" s="6">
        <v>11800</v>
      </c>
      <c r="G56" s="6">
        <v>11800</v>
      </c>
      <c r="H56" s="7">
        <v>0</v>
      </c>
      <c r="I56" s="3" t="s">
        <v>93</v>
      </c>
      <c r="J56" s="3" t="s">
        <v>2</v>
      </c>
      <c r="K56" s="5" t="s">
        <v>899</v>
      </c>
    </row>
    <row r="57" spans="1:11" ht="15" thickBot="1" x14ac:dyDescent="0.35">
      <c r="A57" s="3" t="s">
        <v>95</v>
      </c>
      <c r="B57" s="4" t="s">
        <v>96</v>
      </c>
      <c r="C57" s="3" t="s">
        <v>67</v>
      </c>
      <c r="D57" s="3" t="s">
        <v>29</v>
      </c>
      <c r="E57" s="5" t="s">
        <v>8</v>
      </c>
      <c r="F57" s="6">
        <v>35400</v>
      </c>
      <c r="G57" s="6">
        <v>20000</v>
      </c>
      <c r="H57" s="6">
        <v>15400</v>
      </c>
      <c r="I57" s="3" t="s">
        <v>91</v>
      </c>
      <c r="J57" s="3" t="s">
        <v>2</v>
      </c>
      <c r="K57" s="5" t="s">
        <v>898</v>
      </c>
    </row>
    <row r="58" spans="1:11" ht="15" thickBot="1" x14ac:dyDescent="0.35">
      <c r="A58" s="3" t="s">
        <v>95</v>
      </c>
      <c r="B58" s="4" t="s">
        <v>97</v>
      </c>
      <c r="C58" s="3" t="s">
        <v>67</v>
      </c>
      <c r="D58" s="3" t="s">
        <v>19</v>
      </c>
      <c r="E58" s="5" t="s">
        <v>8</v>
      </c>
      <c r="F58" s="6">
        <v>11800</v>
      </c>
      <c r="G58" s="6">
        <v>1000</v>
      </c>
      <c r="H58" s="6">
        <v>10800</v>
      </c>
      <c r="I58" s="3" t="s">
        <v>93</v>
      </c>
      <c r="J58" s="5"/>
      <c r="K58" s="5" t="s">
        <v>898</v>
      </c>
    </row>
    <row r="59" spans="1:11" ht="15" thickBot="1" x14ac:dyDescent="0.35">
      <c r="A59" s="3" t="s">
        <v>98</v>
      </c>
      <c r="B59" s="4" t="s">
        <v>99</v>
      </c>
      <c r="C59" s="5" t="s">
        <v>67</v>
      </c>
      <c r="D59" s="3" t="s">
        <v>29</v>
      </c>
      <c r="E59" s="5"/>
      <c r="F59" s="6">
        <v>11800</v>
      </c>
      <c r="G59" s="6">
        <v>11800</v>
      </c>
      <c r="H59" s="7">
        <v>0</v>
      </c>
      <c r="I59" s="3" t="s">
        <v>91</v>
      </c>
      <c r="J59" s="3" t="s">
        <v>2</v>
      </c>
      <c r="K59" s="5" t="s">
        <v>898</v>
      </c>
    </row>
    <row r="60" spans="1:11" ht="15" thickBot="1" x14ac:dyDescent="0.35">
      <c r="A60" s="3" t="s">
        <v>100</v>
      </c>
      <c r="B60" s="4" t="s">
        <v>101</v>
      </c>
      <c r="C60" s="5" t="s">
        <v>67</v>
      </c>
      <c r="D60" s="3" t="s">
        <v>29</v>
      </c>
      <c r="E60" s="5"/>
      <c r="F60" s="6">
        <v>11800</v>
      </c>
      <c r="G60" s="6">
        <v>11800</v>
      </c>
      <c r="H60" s="7">
        <v>0</v>
      </c>
      <c r="I60" s="3" t="s">
        <v>91</v>
      </c>
      <c r="J60" s="3" t="s">
        <v>2</v>
      </c>
      <c r="K60" s="5" t="s">
        <v>898</v>
      </c>
    </row>
    <row r="61" spans="1:11" ht="15" thickBot="1" x14ac:dyDescent="0.35">
      <c r="A61" s="3" t="s">
        <v>100</v>
      </c>
      <c r="B61" s="4" t="s">
        <v>102</v>
      </c>
      <c r="C61" s="5" t="s">
        <v>67</v>
      </c>
      <c r="D61" s="3" t="s">
        <v>29</v>
      </c>
      <c r="E61" s="5"/>
      <c r="F61" s="6">
        <v>11800</v>
      </c>
      <c r="G61" s="6">
        <v>11800</v>
      </c>
      <c r="H61" s="7">
        <v>0</v>
      </c>
      <c r="I61" s="3" t="s">
        <v>91</v>
      </c>
      <c r="J61" s="3" t="s">
        <v>2</v>
      </c>
      <c r="K61" s="5" t="s">
        <v>898</v>
      </c>
    </row>
    <row r="62" spans="1:11" ht="15" thickBot="1" x14ac:dyDescent="0.35">
      <c r="A62" s="3" t="s">
        <v>103</v>
      </c>
      <c r="B62" s="4" t="s">
        <v>104</v>
      </c>
      <c r="C62" s="5" t="s">
        <v>67</v>
      </c>
      <c r="D62" s="3" t="s">
        <v>29</v>
      </c>
      <c r="E62" s="5" t="s">
        <v>8</v>
      </c>
      <c r="F62" s="6">
        <v>11800</v>
      </c>
      <c r="G62" s="6">
        <v>2000</v>
      </c>
      <c r="H62" s="6">
        <v>9800</v>
      </c>
      <c r="I62" s="3" t="s">
        <v>91</v>
      </c>
      <c r="J62" s="5"/>
      <c r="K62" s="5" t="s">
        <v>898</v>
      </c>
    </row>
    <row r="63" spans="1:11" ht="15" thickBot="1" x14ac:dyDescent="0.35">
      <c r="A63" s="3" t="s">
        <v>105</v>
      </c>
      <c r="B63" s="4" t="s">
        <v>106</v>
      </c>
      <c r="C63" s="5" t="s">
        <v>67</v>
      </c>
      <c r="D63" s="3" t="s">
        <v>19</v>
      </c>
      <c r="E63" s="5" t="s">
        <v>49</v>
      </c>
      <c r="F63" s="6">
        <v>11800</v>
      </c>
      <c r="G63" s="6">
        <v>11800</v>
      </c>
      <c r="H63" s="7">
        <v>0</v>
      </c>
      <c r="I63" s="3" t="s">
        <v>93</v>
      </c>
      <c r="J63" s="3" t="s">
        <v>2</v>
      </c>
      <c r="K63" s="5" t="s">
        <v>898</v>
      </c>
    </row>
    <row r="64" spans="1:11" ht="15" thickBot="1" x14ac:dyDescent="0.35">
      <c r="A64" s="3" t="s">
        <v>107</v>
      </c>
      <c r="B64" s="4" t="s">
        <v>108</v>
      </c>
      <c r="C64" s="5" t="s">
        <v>67</v>
      </c>
      <c r="D64" s="3" t="s">
        <v>19</v>
      </c>
      <c r="E64" s="5" t="s">
        <v>8</v>
      </c>
      <c r="F64" s="6">
        <v>11800</v>
      </c>
      <c r="G64" s="6">
        <v>11800</v>
      </c>
      <c r="H64" s="7">
        <v>0</v>
      </c>
      <c r="I64" s="3" t="s">
        <v>93</v>
      </c>
      <c r="J64" s="3" t="s">
        <v>2</v>
      </c>
      <c r="K64" s="5" t="s">
        <v>898</v>
      </c>
    </row>
    <row r="65" spans="1:11" ht="15" thickBot="1" x14ac:dyDescent="0.35">
      <c r="A65" s="3" t="s">
        <v>109</v>
      </c>
      <c r="B65" s="4" t="s">
        <v>110</v>
      </c>
      <c r="C65" s="5" t="s">
        <v>67</v>
      </c>
      <c r="D65" s="3" t="s">
        <v>19</v>
      </c>
      <c r="E65" s="5" t="s">
        <v>8</v>
      </c>
      <c r="F65" s="6">
        <v>11800</v>
      </c>
      <c r="G65" s="6">
        <v>11800</v>
      </c>
      <c r="H65" s="7">
        <v>0</v>
      </c>
      <c r="I65" s="3" t="s">
        <v>111</v>
      </c>
      <c r="J65" s="3" t="s">
        <v>2</v>
      </c>
      <c r="K65" s="5" t="s">
        <v>898</v>
      </c>
    </row>
    <row r="66" spans="1:11" ht="15" thickBot="1" x14ac:dyDescent="0.35">
      <c r="A66" s="3" t="s">
        <v>112</v>
      </c>
      <c r="B66" s="4" t="s">
        <v>113</v>
      </c>
      <c r="C66" s="5" t="s">
        <v>67</v>
      </c>
      <c r="D66" s="3" t="s">
        <v>19</v>
      </c>
      <c r="E66" s="5" t="s">
        <v>8</v>
      </c>
      <c r="F66" s="6">
        <v>29500</v>
      </c>
      <c r="G66" s="6">
        <v>2000</v>
      </c>
      <c r="H66" s="6">
        <v>27500</v>
      </c>
      <c r="I66" s="3" t="s">
        <v>114</v>
      </c>
      <c r="J66" s="5"/>
      <c r="K66" s="5" t="s">
        <v>898</v>
      </c>
    </row>
    <row r="67" spans="1:11" ht="15" thickBot="1" x14ac:dyDescent="0.35">
      <c r="A67" s="9">
        <v>45690</v>
      </c>
      <c r="B67" s="4" t="s">
        <v>115</v>
      </c>
      <c r="C67" s="23" t="s">
        <v>116</v>
      </c>
      <c r="D67" s="3" t="s">
        <v>29</v>
      </c>
      <c r="E67" s="5" t="s">
        <v>49</v>
      </c>
      <c r="F67" s="6">
        <v>14000</v>
      </c>
      <c r="G67" s="24">
        <v>6000</v>
      </c>
      <c r="H67" s="24">
        <v>8000</v>
      </c>
      <c r="I67" s="8" t="s">
        <v>111</v>
      </c>
      <c r="J67" s="10"/>
      <c r="K67" s="5" t="s">
        <v>898</v>
      </c>
    </row>
    <row r="68" spans="1:11" ht="15" thickBot="1" x14ac:dyDescent="0.35">
      <c r="A68" s="9">
        <v>45690</v>
      </c>
      <c r="B68" s="4" t="s">
        <v>117</v>
      </c>
      <c r="C68" s="23" t="s">
        <v>116</v>
      </c>
      <c r="D68" s="3" t="s">
        <v>29</v>
      </c>
      <c r="E68" s="5" t="s">
        <v>49</v>
      </c>
      <c r="F68" s="6">
        <v>11800</v>
      </c>
      <c r="G68" s="24">
        <v>11800</v>
      </c>
      <c r="H68" s="7">
        <v>0</v>
      </c>
      <c r="I68" s="8" t="s">
        <v>111</v>
      </c>
      <c r="J68" s="8" t="s">
        <v>2</v>
      </c>
      <c r="K68" s="5" t="s">
        <v>898</v>
      </c>
    </row>
    <row r="69" spans="1:11" ht="15" thickBot="1" x14ac:dyDescent="0.35">
      <c r="A69" s="9">
        <v>45718</v>
      </c>
      <c r="B69" s="4" t="s">
        <v>118</v>
      </c>
      <c r="C69" s="23" t="s">
        <v>116</v>
      </c>
      <c r="D69" s="3" t="s">
        <v>29</v>
      </c>
      <c r="E69" s="5"/>
      <c r="F69" s="6">
        <v>14000</v>
      </c>
      <c r="G69" s="24">
        <v>14000</v>
      </c>
      <c r="H69" s="7">
        <v>0</v>
      </c>
      <c r="I69" s="8" t="s">
        <v>111</v>
      </c>
      <c r="J69" s="8" t="s">
        <v>2</v>
      </c>
      <c r="K69" s="5" t="s">
        <v>898</v>
      </c>
    </row>
    <row r="70" spans="1:11" ht="15" thickBot="1" x14ac:dyDescent="0.35">
      <c r="A70" s="9">
        <v>45718</v>
      </c>
      <c r="B70" s="4" t="s">
        <v>119</v>
      </c>
      <c r="C70" s="23" t="s">
        <v>116</v>
      </c>
      <c r="D70" s="3" t="s">
        <v>29</v>
      </c>
      <c r="E70" s="5" t="s">
        <v>8</v>
      </c>
      <c r="F70" s="6">
        <v>14000</v>
      </c>
      <c r="G70" s="24">
        <v>14000</v>
      </c>
      <c r="H70" s="7">
        <v>0</v>
      </c>
      <c r="I70" s="8" t="s">
        <v>111</v>
      </c>
      <c r="J70" s="8" t="s">
        <v>2</v>
      </c>
      <c r="K70" s="5" t="s">
        <v>898</v>
      </c>
    </row>
    <row r="71" spans="1:11" ht="15" thickBot="1" x14ac:dyDescent="0.35">
      <c r="A71" s="9">
        <v>45749</v>
      </c>
      <c r="B71" s="4" t="s">
        <v>120</v>
      </c>
      <c r="C71" s="23" t="s">
        <v>116</v>
      </c>
      <c r="D71" s="3" t="s">
        <v>29</v>
      </c>
      <c r="E71" s="5" t="s">
        <v>49</v>
      </c>
      <c r="F71" s="6">
        <v>14000</v>
      </c>
      <c r="G71" s="24">
        <v>7000</v>
      </c>
      <c r="H71" s="24">
        <v>7000</v>
      </c>
      <c r="I71" s="8" t="s">
        <v>111</v>
      </c>
      <c r="J71" s="10"/>
      <c r="K71" s="5" t="s">
        <v>898</v>
      </c>
    </row>
    <row r="72" spans="1:11" ht="15" thickBot="1" x14ac:dyDescent="0.35">
      <c r="A72" s="9">
        <v>45779</v>
      </c>
      <c r="B72" s="4" t="s">
        <v>121</v>
      </c>
      <c r="C72" s="23" t="s">
        <v>116</v>
      </c>
      <c r="D72" s="3" t="s">
        <v>29</v>
      </c>
      <c r="E72" s="5" t="s">
        <v>10</v>
      </c>
      <c r="F72" s="6">
        <v>14000</v>
      </c>
      <c r="G72" s="24">
        <v>1000</v>
      </c>
      <c r="H72" s="24">
        <v>13000</v>
      </c>
      <c r="I72" s="10"/>
      <c r="J72" s="10"/>
      <c r="K72" s="5" t="s">
        <v>898</v>
      </c>
    </row>
    <row r="73" spans="1:11" ht="15" thickBot="1" x14ac:dyDescent="0.35">
      <c r="A73" s="9">
        <v>45779</v>
      </c>
      <c r="B73" s="4" t="s">
        <v>122</v>
      </c>
      <c r="C73" s="23" t="s">
        <v>116</v>
      </c>
      <c r="D73" s="3" t="s">
        <v>29</v>
      </c>
      <c r="E73" s="5" t="s">
        <v>49</v>
      </c>
      <c r="F73" s="6">
        <v>14000</v>
      </c>
      <c r="G73" s="6">
        <v>14000</v>
      </c>
      <c r="H73" s="7">
        <v>0</v>
      </c>
      <c r="I73" s="8" t="s">
        <v>111</v>
      </c>
      <c r="J73" s="3" t="s">
        <v>2</v>
      </c>
      <c r="K73" s="5" t="s">
        <v>898</v>
      </c>
    </row>
    <row r="74" spans="1:11" ht="15" thickBot="1" x14ac:dyDescent="0.35">
      <c r="A74" s="9">
        <v>45810</v>
      </c>
      <c r="B74" s="4" t="s">
        <v>123</v>
      </c>
      <c r="C74" s="23" t="s">
        <v>116</v>
      </c>
      <c r="D74" s="3" t="s">
        <v>29</v>
      </c>
      <c r="E74" s="5" t="s">
        <v>49</v>
      </c>
      <c r="F74" s="6">
        <v>14000</v>
      </c>
      <c r="G74" s="6">
        <v>5000</v>
      </c>
      <c r="H74" s="6">
        <v>9000</v>
      </c>
      <c r="I74" s="8" t="s">
        <v>111</v>
      </c>
      <c r="J74" s="5"/>
      <c r="K74" s="5" t="s">
        <v>898</v>
      </c>
    </row>
    <row r="75" spans="1:11" ht="15" thickBot="1" x14ac:dyDescent="0.35">
      <c r="A75" s="9">
        <v>45810</v>
      </c>
      <c r="B75" s="4" t="s">
        <v>124</v>
      </c>
      <c r="C75" s="23" t="s">
        <v>116</v>
      </c>
      <c r="D75" s="3" t="s">
        <v>29</v>
      </c>
      <c r="E75" s="5" t="s">
        <v>49</v>
      </c>
      <c r="F75" s="6">
        <v>14000</v>
      </c>
      <c r="G75" s="6">
        <v>1500</v>
      </c>
      <c r="H75" s="6">
        <v>12500</v>
      </c>
      <c r="I75" s="10"/>
      <c r="J75" s="5"/>
      <c r="K75" s="5" t="s">
        <v>898</v>
      </c>
    </row>
    <row r="76" spans="1:11" ht="15" thickBot="1" x14ac:dyDescent="0.35">
      <c r="A76" s="9">
        <v>45840</v>
      </c>
      <c r="B76" s="4" t="s">
        <v>125</v>
      </c>
      <c r="C76" s="23" t="s">
        <v>116</v>
      </c>
      <c r="D76" s="3" t="s">
        <v>29</v>
      </c>
      <c r="E76" s="5" t="s">
        <v>49</v>
      </c>
      <c r="F76" s="6">
        <v>14000</v>
      </c>
      <c r="G76" s="6">
        <v>14000</v>
      </c>
      <c r="H76" s="7">
        <v>0</v>
      </c>
      <c r="I76" s="8" t="s">
        <v>126</v>
      </c>
      <c r="J76" s="3" t="s">
        <v>2</v>
      </c>
      <c r="K76" s="5" t="s">
        <v>898</v>
      </c>
    </row>
    <row r="77" spans="1:11" ht="15" thickBot="1" x14ac:dyDescent="0.35">
      <c r="A77" s="9">
        <v>45840</v>
      </c>
      <c r="B77" s="4" t="s">
        <v>127</v>
      </c>
      <c r="C77" s="23" t="s">
        <v>116</v>
      </c>
      <c r="D77" s="3" t="s">
        <v>29</v>
      </c>
      <c r="E77" s="5" t="s">
        <v>49</v>
      </c>
      <c r="F77" s="6">
        <v>14000</v>
      </c>
      <c r="G77" s="6">
        <v>7000</v>
      </c>
      <c r="H77" s="6">
        <v>7000</v>
      </c>
      <c r="I77" s="8" t="s">
        <v>111</v>
      </c>
      <c r="J77" s="5"/>
      <c r="K77" s="5" t="s">
        <v>898</v>
      </c>
    </row>
    <row r="78" spans="1:11" ht="15" thickBot="1" x14ac:dyDescent="0.35">
      <c r="A78" s="9">
        <v>45840</v>
      </c>
      <c r="B78" s="4" t="s">
        <v>128</v>
      </c>
      <c r="C78" s="23" t="s">
        <v>116</v>
      </c>
      <c r="D78" s="3" t="s">
        <v>29</v>
      </c>
      <c r="E78" s="5" t="s">
        <v>10</v>
      </c>
      <c r="F78" s="6">
        <v>14000</v>
      </c>
      <c r="G78" s="6">
        <v>7000</v>
      </c>
      <c r="H78" s="6">
        <v>7000</v>
      </c>
      <c r="I78" s="8" t="s">
        <v>111</v>
      </c>
      <c r="J78" s="5"/>
      <c r="K78" s="5" t="s">
        <v>898</v>
      </c>
    </row>
    <row r="79" spans="1:11" ht="15" thickBot="1" x14ac:dyDescent="0.35">
      <c r="A79" s="9">
        <v>45871</v>
      </c>
      <c r="B79" s="4" t="s">
        <v>129</v>
      </c>
      <c r="C79" s="23" t="s">
        <v>116</v>
      </c>
      <c r="D79" s="3" t="s">
        <v>29</v>
      </c>
      <c r="E79" s="5" t="s">
        <v>10</v>
      </c>
      <c r="F79" s="6">
        <v>14000</v>
      </c>
      <c r="G79" s="6">
        <v>7000</v>
      </c>
      <c r="H79" s="6">
        <v>7000</v>
      </c>
      <c r="I79" s="8" t="s">
        <v>111</v>
      </c>
      <c r="J79" s="5"/>
      <c r="K79" s="5" t="s">
        <v>898</v>
      </c>
    </row>
    <row r="80" spans="1:11" ht="15" thickBot="1" x14ac:dyDescent="0.35">
      <c r="A80" s="9">
        <v>45871</v>
      </c>
      <c r="B80" s="4" t="s">
        <v>130</v>
      </c>
      <c r="C80" s="23" t="s">
        <v>116</v>
      </c>
      <c r="D80" s="3" t="s">
        <v>29</v>
      </c>
      <c r="E80" s="5" t="s">
        <v>10</v>
      </c>
      <c r="F80" s="6">
        <v>14000</v>
      </c>
      <c r="G80" s="6">
        <v>14000</v>
      </c>
      <c r="H80" s="7">
        <v>0</v>
      </c>
      <c r="I80" s="8" t="s">
        <v>111</v>
      </c>
      <c r="J80" s="3" t="s">
        <v>2</v>
      </c>
      <c r="K80" s="5" t="s">
        <v>898</v>
      </c>
    </row>
    <row r="81" spans="1:11" ht="15" thickBot="1" x14ac:dyDescent="0.35">
      <c r="A81" s="9">
        <v>45902</v>
      </c>
      <c r="B81" s="4" t="s">
        <v>131</v>
      </c>
      <c r="C81" s="23" t="s">
        <v>116</v>
      </c>
      <c r="D81" s="3" t="s">
        <v>29</v>
      </c>
      <c r="E81" s="5" t="s">
        <v>8</v>
      </c>
      <c r="F81" s="6">
        <v>14000</v>
      </c>
      <c r="G81" s="6">
        <v>14000</v>
      </c>
      <c r="H81" s="7">
        <v>0</v>
      </c>
      <c r="I81" s="8" t="s">
        <v>111</v>
      </c>
      <c r="J81" s="3" t="s">
        <v>2</v>
      </c>
      <c r="K81" s="5" t="s">
        <v>899</v>
      </c>
    </row>
    <row r="82" spans="1:11" ht="15" thickBot="1" x14ac:dyDescent="0.35">
      <c r="A82" s="9">
        <v>45932</v>
      </c>
      <c r="B82" s="4" t="s">
        <v>132</v>
      </c>
      <c r="C82" s="23" t="s">
        <v>116</v>
      </c>
      <c r="D82" s="3" t="s">
        <v>29</v>
      </c>
      <c r="E82" s="5" t="s">
        <v>49</v>
      </c>
      <c r="F82" s="6">
        <v>14000</v>
      </c>
      <c r="G82" s="6">
        <v>14000</v>
      </c>
      <c r="H82" s="7">
        <v>0</v>
      </c>
      <c r="I82" s="8" t="s">
        <v>111</v>
      </c>
      <c r="J82" s="3" t="s">
        <v>2</v>
      </c>
      <c r="K82" s="5" t="s">
        <v>898</v>
      </c>
    </row>
    <row r="83" spans="1:11" ht="15" thickBot="1" x14ac:dyDescent="0.35">
      <c r="A83" s="9">
        <v>45932</v>
      </c>
      <c r="B83" s="4" t="s">
        <v>133</v>
      </c>
      <c r="C83" s="23" t="s">
        <v>116</v>
      </c>
      <c r="D83" s="3" t="s">
        <v>29</v>
      </c>
      <c r="E83" s="5" t="s">
        <v>8</v>
      </c>
      <c r="F83" s="6">
        <v>14000</v>
      </c>
      <c r="G83" s="6">
        <v>1000</v>
      </c>
      <c r="H83" s="6">
        <v>13000</v>
      </c>
      <c r="I83" s="10"/>
      <c r="J83" s="5"/>
      <c r="K83" s="5" t="s">
        <v>898</v>
      </c>
    </row>
    <row r="84" spans="1:11" ht="15" thickBot="1" x14ac:dyDescent="0.35">
      <c r="A84" s="9">
        <v>45932</v>
      </c>
      <c r="B84" s="4" t="s">
        <v>134</v>
      </c>
      <c r="C84" s="23" t="s">
        <v>116</v>
      </c>
      <c r="D84" s="3" t="s">
        <v>29</v>
      </c>
      <c r="E84" s="5" t="s">
        <v>10</v>
      </c>
      <c r="F84" s="6">
        <v>14000</v>
      </c>
      <c r="G84" s="6">
        <v>7000</v>
      </c>
      <c r="H84" s="6">
        <v>7000</v>
      </c>
      <c r="I84" s="8" t="s">
        <v>111</v>
      </c>
      <c r="J84" s="5"/>
      <c r="K84" s="5" t="s">
        <v>898</v>
      </c>
    </row>
    <row r="85" spans="1:11" ht="15" thickBot="1" x14ac:dyDescent="0.35">
      <c r="A85" s="9">
        <v>45963</v>
      </c>
      <c r="B85" s="4" t="s">
        <v>135</v>
      </c>
      <c r="C85" s="23" t="s">
        <v>116</v>
      </c>
      <c r="D85" s="3" t="s">
        <v>0</v>
      </c>
      <c r="E85" s="5" t="s">
        <v>10</v>
      </c>
      <c r="F85" s="6">
        <v>1000</v>
      </c>
      <c r="G85" s="6">
        <v>1000</v>
      </c>
      <c r="H85" s="7">
        <v>0</v>
      </c>
      <c r="I85" s="8" t="s">
        <v>136</v>
      </c>
      <c r="J85" s="3" t="s">
        <v>2</v>
      </c>
      <c r="K85" s="5" t="s">
        <v>898</v>
      </c>
    </row>
    <row r="86" spans="1:11" ht="15" thickBot="1" x14ac:dyDescent="0.35">
      <c r="A86" s="9">
        <v>45963</v>
      </c>
      <c r="B86" s="4" t="s">
        <v>137</v>
      </c>
      <c r="C86" s="23" t="s">
        <v>116</v>
      </c>
      <c r="D86" s="3" t="s">
        <v>19</v>
      </c>
      <c r="E86" s="5" t="s">
        <v>49</v>
      </c>
      <c r="F86" s="6">
        <v>14000</v>
      </c>
      <c r="G86" s="6">
        <v>14000</v>
      </c>
      <c r="H86" s="7">
        <v>0</v>
      </c>
      <c r="I86" s="8" t="s">
        <v>114</v>
      </c>
      <c r="J86" s="3" t="s">
        <v>2</v>
      </c>
      <c r="K86" s="5" t="s">
        <v>899</v>
      </c>
    </row>
    <row r="87" spans="1:11" ht="15" thickBot="1" x14ac:dyDescent="0.35">
      <c r="A87" s="9">
        <v>45963</v>
      </c>
      <c r="B87" s="4" t="s">
        <v>138</v>
      </c>
      <c r="C87" s="23" t="s">
        <v>116</v>
      </c>
      <c r="D87" s="3" t="s">
        <v>29</v>
      </c>
      <c r="E87" s="5" t="s">
        <v>10</v>
      </c>
      <c r="F87" s="6">
        <v>14000</v>
      </c>
      <c r="G87" s="6">
        <v>1500</v>
      </c>
      <c r="H87" s="6">
        <v>12500</v>
      </c>
      <c r="I87" s="5"/>
      <c r="J87" s="5"/>
      <c r="K87" s="5" t="s">
        <v>898</v>
      </c>
    </row>
    <row r="88" spans="1:11" ht="15" thickBot="1" x14ac:dyDescent="0.35">
      <c r="A88" s="9">
        <v>45963</v>
      </c>
      <c r="B88" s="4" t="s">
        <v>139</v>
      </c>
      <c r="C88" s="23" t="s">
        <v>116</v>
      </c>
      <c r="D88" s="3" t="s">
        <v>29</v>
      </c>
      <c r="E88" s="5" t="s">
        <v>10</v>
      </c>
      <c r="F88" s="6">
        <v>14000</v>
      </c>
      <c r="G88" s="6">
        <v>7000</v>
      </c>
      <c r="H88" s="6">
        <v>7000</v>
      </c>
      <c r="I88" s="5" t="s">
        <v>111</v>
      </c>
      <c r="J88" s="5"/>
      <c r="K88" s="5" t="s">
        <v>898</v>
      </c>
    </row>
    <row r="89" spans="1:11" ht="15" thickBot="1" x14ac:dyDescent="0.35">
      <c r="A89" s="9">
        <v>45993</v>
      </c>
      <c r="B89" s="4" t="s">
        <v>140</v>
      </c>
      <c r="C89" s="23" t="s">
        <v>116</v>
      </c>
      <c r="D89" s="3" t="s">
        <v>29</v>
      </c>
      <c r="E89" s="5" t="s">
        <v>49</v>
      </c>
      <c r="F89" s="6">
        <v>1000</v>
      </c>
      <c r="G89" s="6">
        <v>1000</v>
      </c>
      <c r="H89" s="7">
        <v>0</v>
      </c>
      <c r="I89" s="10"/>
      <c r="J89" s="3" t="s">
        <v>2</v>
      </c>
      <c r="K89" s="5" t="s">
        <v>898</v>
      </c>
    </row>
    <row r="90" spans="1:11" ht="15" thickBot="1" x14ac:dyDescent="0.35">
      <c r="A90" s="3" t="s">
        <v>141</v>
      </c>
      <c r="B90" s="4" t="s">
        <v>142</v>
      </c>
      <c r="C90" s="23" t="s">
        <v>116</v>
      </c>
      <c r="D90" s="3" t="s">
        <v>29</v>
      </c>
      <c r="E90" s="5" t="s">
        <v>10</v>
      </c>
      <c r="F90" s="6">
        <v>14000</v>
      </c>
      <c r="G90" s="6">
        <v>14000</v>
      </c>
      <c r="H90" s="7">
        <v>0</v>
      </c>
      <c r="I90" s="8" t="s">
        <v>111</v>
      </c>
      <c r="J90" s="3" t="s">
        <v>2</v>
      </c>
      <c r="K90" s="5" t="s">
        <v>898</v>
      </c>
    </row>
    <row r="91" spans="1:11" ht="15" thickBot="1" x14ac:dyDescent="0.35">
      <c r="A91" s="3" t="s">
        <v>141</v>
      </c>
      <c r="B91" s="4" t="s">
        <v>143</v>
      </c>
      <c r="C91" s="23" t="s">
        <v>116</v>
      </c>
      <c r="D91" s="3" t="s">
        <v>29</v>
      </c>
      <c r="E91" s="5" t="s">
        <v>10</v>
      </c>
      <c r="F91" s="6">
        <v>14000</v>
      </c>
      <c r="G91" s="6">
        <v>14000</v>
      </c>
      <c r="H91" s="7">
        <v>0</v>
      </c>
      <c r="I91" s="8" t="s">
        <v>111</v>
      </c>
      <c r="J91" s="3" t="s">
        <v>2</v>
      </c>
      <c r="K91" s="5" t="s">
        <v>898</v>
      </c>
    </row>
    <row r="92" spans="1:11" ht="15" thickBot="1" x14ac:dyDescent="0.35">
      <c r="A92" s="3" t="s">
        <v>144</v>
      </c>
      <c r="B92" s="4" t="s">
        <v>145</v>
      </c>
      <c r="C92" s="23" t="s">
        <v>116</v>
      </c>
      <c r="D92" s="3" t="s">
        <v>29</v>
      </c>
      <c r="E92" s="5" t="s">
        <v>49</v>
      </c>
      <c r="F92" s="6">
        <v>14000</v>
      </c>
      <c r="G92" s="6">
        <v>7000</v>
      </c>
      <c r="H92" s="6">
        <v>7000</v>
      </c>
      <c r="I92" s="8" t="s">
        <v>111</v>
      </c>
      <c r="J92" s="5"/>
      <c r="K92" s="5" t="s">
        <v>898</v>
      </c>
    </row>
    <row r="93" spans="1:11" ht="15" thickBot="1" x14ac:dyDescent="0.35">
      <c r="A93" s="3" t="s">
        <v>144</v>
      </c>
      <c r="B93" s="4" t="s">
        <v>146</v>
      </c>
      <c r="C93" s="23" t="s">
        <v>116</v>
      </c>
      <c r="D93" s="3" t="s">
        <v>29</v>
      </c>
      <c r="E93" s="5"/>
      <c r="F93" s="6">
        <v>11800</v>
      </c>
      <c r="G93" s="6">
        <v>11800</v>
      </c>
      <c r="H93" s="7">
        <v>0</v>
      </c>
      <c r="I93" s="8" t="s">
        <v>126</v>
      </c>
      <c r="J93" s="3" t="s">
        <v>2</v>
      </c>
      <c r="K93" s="5" t="s">
        <v>899</v>
      </c>
    </row>
    <row r="94" spans="1:11" ht="15" thickBot="1" x14ac:dyDescent="0.35">
      <c r="A94" s="3" t="s">
        <v>147</v>
      </c>
      <c r="B94" s="4" t="s">
        <v>148</v>
      </c>
      <c r="C94" s="23" t="s">
        <v>116</v>
      </c>
      <c r="D94" s="3" t="s">
        <v>29</v>
      </c>
      <c r="E94" s="5" t="s">
        <v>49</v>
      </c>
      <c r="F94" s="6">
        <v>14000</v>
      </c>
      <c r="G94" s="6">
        <v>14000</v>
      </c>
      <c r="H94" s="7">
        <v>0</v>
      </c>
      <c r="I94" s="3" t="s">
        <v>126</v>
      </c>
      <c r="J94" s="3" t="s">
        <v>2</v>
      </c>
      <c r="K94" s="5" t="s">
        <v>898</v>
      </c>
    </row>
    <row r="95" spans="1:11" ht="15" thickBot="1" x14ac:dyDescent="0.35">
      <c r="A95" s="3" t="s">
        <v>147</v>
      </c>
      <c r="B95" s="4" t="s">
        <v>149</v>
      </c>
      <c r="C95" s="23" t="s">
        <v>116</v>
      </c>
      <c r="D95" s="3" t="s">
        <v>29</v>
      </c>
      <c r="E95" s="5" t="s">
        <v>49</v>
      </c>
      <c r="F95" s="6">
        <v>14000</v>
      </c>
      <c r="G95" s="6">
        <v>14000</v>
      </c>
      <c r="H95" s="7">
        <v>0</v>
      </c>
      <c r="I95" s="3" t="s">
        <v>126</v>
      </c>
      <c r="J95" s="3" t="s">
        <v>2</v>
      </c>
      <c r="K95" s="5" t="s">
        <v>898</v>
      </c>
    </row>
    <row r="96" spans="1:11" ht="15" thickBot="1" x14ac:dyDescent="0.35">
      <c r="A96" s="3" t="s">
        <v>150</v>
      </c>
      <c r="B96" s="4" t="s">
        <v>151</v>
      </c>
      <c r="C96" s="23" t="s">
        <v>116</v>
      </c>
      <c r="D96" s="3" t="s">
        <v>29</v>
      </c>
      <c r="E96" s="5" t="s">
        <v>8</v>
      </c>
      <c r="F96" s="6">
        <v>14000</v>
      </c>
      <c r="G96" s="6">
        <v>14000</v>
      </c>
      <c r="H96" s="7">
        <v>0</v>
      </c>
      <c r="I96" s="3" t="s">
        <v>126</v>
      </c>
      <c r="J96" s="3" t="s">
        <v>2</v>
      </c>
      <c r="K96" s="5" t="s">
        <v>898</v>
      </c>
    </row>
    <row r="97" spans="1:11" ht="15" thickBot="1" x14ac:dyDescent="0.35">
      <c r="A97" s="3" t="s">
        <v>152</v>
      </c>
      <c r="B97" s="4" t="s">
        <v>153</v>
      </c>
      <c r="C97" s="23" t="s">
        <v>116</v>
      </c>
      <c r="D97" s="3" t="s">
        <v>29</v>
      </c>
      <c r="E97" s="5" t="s">
        <v>10</v>
      </c>
      <c r="F97" s="6">
        <v>14000</v>
      </c>
      <c r="G97" s="6">
        <v>1000</v>
      </c>
      <c r="H97" s="6">
        <v>13000</v>
      </c>
      <c r="I97" s="5"/>
      <c r="J97" s="5"/>
      <c r="K97" s="5" t="s">
        <v>898</v>
      </c>
    </row>
    <row r="98" spans="1:11" ht="15" thickBot="1" x14ac:dyDescent="0.35">
      <c r="A98" s="3" t="s">
        <v>152</v>
      </c>
      <c r="B98" s="4" t="s">
        <v>154</v>
      </c>
      <c r="C98" s="23" t="s">
        <v>116</v>
      </c>
      <c r="D98" s="3" t="s">
        <v>29</v>
      </c>
      <c r="E98" s="5" t="s">
        <v>8</v>
      </c>
      <c r="F98" s="6">
        <v>14000</v>
      </c>
      <c r="G98" s="6">
        <v>500</v>
      </c>
      <c r="H98" s="6">
        <v>13500</v>
      </c>
      <c r="I98" s="5"/>
      <c r="J98" s="5"/>
      <c r="K98" s="5" t="s">
        <v>898</v>
      </c>
    </row>
    <row r="99" spans="1:11" ht="15" thickBot="1" x14ac:dyDescent="0.35">
      <c r="A99" s="3" t="s">
        <v>155</v>
      </c>
      <c r="B99" s="4" t="s">
        <v>156</v>
      </c>
      <c r="C99" s="23" t="s">
        <v>116</v>
      </c>
      <c r="D99" s="3" t="s">
        <v>29</v>
      </c>
      <c r="E99" s="5" t="s">
        <v>8</v>
      </c>
      <c r="F99" s="6">
        <v>14000</v>
      </c>
      <c r="G99" s="6">
        <v>14000</v>
      </c>
      <c r="H99" s="7">
        <v>0</v>
      </c>
      <c r="I99" s="3" t="s">
        <v>126</v>
      </c>
      <c r="J99" s="3" t="s">
        <v>2</v>
      </c>
      <c r="K99" s="5" t="s">
        <v>898</v>
      </c>
    </row>
    <row r="100" spans="1:11" ht="15" thickBot="1" x14ac:dyDescent="0.35">
      <c r="A100" s="3" t="s">
        <v>155</v>
      </c>
      <c r="B100" s="4" t="s">
        <v>157</v>
      </c>
      <c r="C100" s="23" t="s">
        <v>116</v>
      </c>
      <c r="D100" s="3" t="s">
        <v>29</v>
      </c>
      <c r="E100" s="5" t="s">
        <v>8</v>
      </c>
      <c r="F100" s="6">
        <v>14000</v>
      </c>
      <c r="G100" s="6">
        <v>14000</v>
      </c>
      <c r="H100" s="7">
        <v>0</v>
      </c>
      <c r="I100" s="3" t="s">
        <v>111</v>
      </c>
      <c r="J100" s="3" t="s">
        <v>2</v>
      </c>
      <c r="K100" s="5" t="s">
        <v>898</v>
      </c>
    </row>
    <row r="101" spans="1:11" ht="15" thickBot="1" x14ac:dyDescent="0.35">
      <c r="A101" s="3" t="s">
        <v>158</v>
      </c>
      <c r="B101" s="4" t="s">
        <v>159</v>
      </c>
      <c r="C101" s="23" t="s">
        <v>116</v>
      </c>
      <c r="D101" s="3" t="s">
        <v>29</v>
      </c>
      <c r="E101" s="5" t="s">
        <v>8</v>
      </c>
      <c r="F101" s="6">
        <v>20000</v>
      </c>
      <c r="G101" s="6">
        <v>20000</v>
      </c>
      <c r="H101" s="7">
        <v>0</v>
      </c>
      <c r="I101" s="3" t="s">
        <v>160</v>
      </c>
      <c r="J101" s="3" t="s">
        <v>2</v>
      </c>
      <c r="K101" s="5" t="s">
        <v>898</v>
      </c>
    </row>
    <row r="102" spans="1:11" ht="15" thickBot="1" x14ac:dyDescent="0.35">
      <c r="A102" s="3" t="s">
        <v>158</v>
      </c>
      <c r="B102" s="4" t="s">
        <v>161</v>
      </c>
      <c r="C102" s="23" t="s">
        <v>116</v>
      </c>
      <c r="D102" s="3" t="s">
        <v>29</v>
      </c>
      <c r="E102" s="5" t="s">
        <v>49</v>
      </c>
      <c r="F102" s="6">
        <v>14000</v>
      </c>
      <c r="G102" s="6">
        <v>14000</v>
      </c>
      <c r="H102" s="7">
        <v>0</v>
      </c>
      <c r="I102" s="3" t="s">
        <v>111</v>
      </c>
      <c r="J102" s="3" t="s">
        <v>2</v>
      </c>
      <c r="K102" s="5" t="s">
        <v>898</v>
      </c>
    </row>
    <row r="103" spans="1:11" ht="15" thickBot="1" x14ac:dyDescent="0.35">
      <c r="A103" s="3" t="s">
        <v>162</v>
      </c>
      <c r="B103" s="4" t="s">
        <v>163</v>
      </c>
      <c r="C103" s="23" t="s">
        <v>116</v>
      </c>
      <c r="D103" s="3" t="s">
        <v>29</v>
      </c>
      <c r="E103" s="5" t="s">
        <v>10</v>
      </c>
      <c r="F103" s="6">
        <v>14000</v>
      </c>
      <c r="G103" s="6">
        <v>14000</v>
      </c>
      <c r="H103" s="7">
        <v>0</v>
      </c>
      <c r="I103" s="3" t="s">
        <v>126</v>
      </c>
      <c r="J103" s="3" t="s">
        <v>2</v>
      </c>
      <c r="K103" s="5" t="s">
        <v>898</v>
      </c>
    </row>
    <row r="104" spans="1:11" ht="15" thickBot="1" x14ac:dyDescent="0.35">
      <c r="A104" s="3" t="s">
        <v>162</v>
      </c>
      <c r="B104" s="4" t="s">
        <v>164</v>
      </c>
      <c r="C104" s="23" t="s">
        <v>116</v>
      </c>
      <c r="D104" s="3" t="s">
        <v>29</v>
      </c>
      <c r="E104" s="5" t="s">
        <v>10</v>
      </c>
      <c r="F104" s="6">
        <v>14000</v>
      </c>
      <c r="G104" s="6">
        <v>14000</v>
      </c>
      <c r="H104" s="7">
        <v>0</v>
      </c>
      <c r="I104" s="3" t="s">
        <v>126</v>
      </c>
      <c r="J104" s="3" t="s">
        <v>2</v>
      </c>
      <c r="K104" s="5" t="s">
        <v>898</v>
      </c>
    </row>
    <row r="105" spans="1:11" ht="15" thickBot="1" x14ac:dyDescent="0.35">
      <c r="A105" s="3" t="s">
        <v>165</v>
      </c>
      <c r="B105" s="4" t="s">
        <v>166</v>
      </c>
      <c r="C105" s="23" t="s">
        <v>116</v>
      </c>
      <c r="D105" s="3" t="s">
        <v>29</v>
      </c>
      <c r="E105" s="5" t="s">
        <v>49</v>
      </c>
      <c r="F105" s="6">
        <v>14000</v>
      </c>
      <c r="G105" s="6">
        <v>14000</v>
      </c>
      <c r="H105" s="7">
        <v>0</v>
      </c>
      <c r="I105" s="3" t="s">
        <v>126</v>
      </c>
      <c r="J105" s="3" t="s">
        <v>2</v>
      </c>
      <c r="K105" s="5" t="s">
        <v>898</v>
      </c>
    </row>
    <row r="106" spans="1:11" ht="15" thickBot="1" x14ac:dyDescent="0.35">
      <c r="A106" s="3" t="s">
        <v>165</v>
      </c>
      <c r="B106" s="4" t="s">
        <v>167</v>
      </c>
      <c r="C106" s="23" t="s">
        <v>116</v>
      </c>
      <c r="D106" s="3" t="s">
        <v>29</v>
      </c>
      <c r="E106" s="5" t="s">
        <v>10</v>
      </c>
      <c r="F106" s="6">
        <v>14000</v>
      </c>
      <c r="G106" s="6">
        <v>14000</v>
      </c>
      <c r="H106" s="7">
        <v>0</v>
      </c>
      <c r="I106" s="3" t="s">
        <v>126</v>
      </c>
      <c r="J106" s="3" t="s">
        <v>2</v>
      </c>
      <c r="K106" s="5" t="s">
        <v>898</v>
      </c>
    </row>
    <row r="107" spans="1:11" ht="15" thickBot="1" x14ac:dyDescent="0.35">
      <c r="A107" s="25" t="s">
        <v>165</v>
      </c>
      <c r="B107" s="26" t="s">
        <v>168</v>
      </c>
      <c r="C107" s="27" t="s">
        <v>116</v>
      </c>
      <c r="D107" s="25" t="s">
        <v>29</v>
      </c>
      <c r="E107" s="28" t="s">
        <v>10</v>
      </c>
      <c r="F107" s="29">
        <v>14000</v>
      </c>
      <c r="G107" s="29">
        <v>7000</v>
      </c>
      <c r="H107" s="29">
        <v>7000</v>
      </c>
      <c r="I107" s="25" t="s">
        <v>126</v>
      </c>
      <c r="J107" s="28"/>
      <c r="K107" s="5" t="s">
        <v>898</v>
      </c>
    </row>
    <row r="108" spans="1:11" ht="15" thickBot="1" x14ac:dyDescent="0.35">
      <c r="A108" s="3" t="s">
        <v>165</v>
      </c>
      <c r="B108" s="4" t="s">
        <v>169</v>
      </c>
      <c r="C108" s="23" t="s">
        <v>116</v>
      </c>
      <c r="D108" s="3" t="s">
        <v>29</v>
      </c>
      <c r="E108" s="5" t="s">
        <v>49</v>
      </c>
      <c r="F108" s="6">
        <v>14000</v>
      </c>
      <c r="G108" s="6">
        <v>7000</v>
      </c>
      <c r="H108" s="6">
        <v>7000</v>
      </c>
      <c r="I108" s="3" t="s">
        <v>126</v>
      </c>
      <c r="J108" s="5"/>
      <c r="K108" s="5" t="s">
        <v>898</v>
      </c>
    </row>
    <row r="109" spans="1:11" ht="15" thickBot="1" x14ac:dyDescent="0.35">
      <c r="A109" s="3" t="s">
        <v>165</v>
      </c>
      <c r="B109" s="4" t="s">
        <v>170</v>
      </c>
      <c r="C109" s="23" t="s">
        <v>116</v>
      </c>
      <c r="D109" s="3" t="s">
        <v>29</v>
      </c>
      <c r="E109" s="5" t="s">
        <v>49</v>
      </c>
      <c r="F109" s="6">
        <v>14000</v>
      </c>
      <c r="G109" s="6">
        <v>14000</v>
      </c>
      <c r="H109" s="7">
        <v>0</v>
      </c>
      <c r="I109" s="3" t="s">
        <v>88</v>
      </c>
      <c r="J109" s="3" t="s">
        <v>2</v>
      </c>
      <c r="K109" s="5" t="s">
        <v>898</v>
      </c>
    </row>
    <row r="110" spans="1:11" ht="15" thickBot="1" x14ac:dyDescent="0.35">
      <c r="A110" s="3" t="s">
        <v>165</v>
      </c>
      <c r="B110" s="4" t="s">
        <v>171</v>
      </c>
      <c r="C110" s="23" t="s">
        <v>116</v>
      </c>
      <c r="D110" s="3" t="s">
        <v>29</v>
      </c>
      <c r="E110" s="5" t="s">
        <v>10</v>
      </c>
      <c r="F110" s="6">
        <v>14000</v>
      </c>
      <c r="G110" s="6">
        <v>14000</v>
      </c>
      <c r="H110" s="7">
        <v>0</v>
      </c>
      <c r="I110" s="3" t="s">
        <v>126</v>
      </c>
      <c r="J110" s="3" t="s">
        <v>2</v>
      </c>
      <c r="K110" s="5" t="s">
        <v>898</v>
      </c>
    </row>
    <row r="111" spans="1:11" ht="15" thickBot="1" x14ac:dyDescent="0.35">
      <c r="A111" s="3" t="s">
        <v>172</v>
      </c>
      <c r="B111" s="4" t="s">
        <v>173</v>
      </c>
      <c r="C111" s="23" t="s">
        <v>116</v>
      </c>
      <c r="D111" s="3" t="s">
        <v>29</v>
      </c>
      <c r="E111" s="5" t="s">
        <v>10</v>
      </c>
      <c r="F111" s="6">
        <v>14000</v>
      </c>
      <c r="G111" s="6">
        <v>14000</v>
      </c>
      <c r="H111" s="7">
        <v>0</v>
      </c>
      <c r="I111" s="3" t="s">
        <v>126</v>
      </c>
      <c r="J111" s="3" t="s">
        <v>2</v>
      </c>
      <c r="K111" s="5" t="s">
        <v>898</v>
      </c>
    </row>
    <row r="112" spans="1:11" ht="15" thickBot="1" x14ac:dyDescent="0.35">
      <c r="A112" s="3" t="s">
        <v>172</v>
      </c>
      <c r="B112" s="4" t="s">
        <v>174</v>
      </c>
      <c r="C112" s="23" t="s">
        <v>116</v>
      </c>
      <c r="D112" s="3" t="s">
        <v>29</v>
      </c>
      <c r="E112" s="5" t="s">
        <v>10</v>
      </c>
      <c r="F112" s="6">
        <v>14000</v>
      </c>
      <c r="G112" s="6">
        <v>7000</v>
      </c>
      <c r="H112" s="6">
        <v>7000</v>
      </c>
      <c r="I112" s="3" t="s">
        <v>126</v>
      </c>
      <c r="J112" s="5"/>
      <c r="K112" s="5" t="s">
        <v>898</v>
      </c>
    </row>
    <row r="113" spans="1:11" ht="15" thickBot="1" x14ac:dyDescent="0.35">
      <c r="A113" s="3" t="s">
        <v>175</v>
      </c>
      <c r="B113" s="4" t="s">
        <v>176</v>
      </c>
      <c r="C113" s="23" t="s">
        <v>116</v>
      </c>
      <c r="D113" s="3" t="s">
        <v>29</v>
      </c>
      <c r="E113" s="5"/>
      <c r="F113" s="6">
        <v>14000</v>
      </c>
      <c r="G113" s="6">
        <v>14000</v>
      </c>
      <c r="H113" s="7">
        <v>0</v>
      </c>
      <c r="I113" s="3" t="s">
        <v>126</v>
      </c>
      <c r="J113" s="3" t="s">
        <v>2</v>
      </c>
      <c r="K113" s="5" t="s">
        <v>898</v>
      </c>
    </row>
    <row r="114" spans="1:11" ht="15" thickBot="1" x14ac:dyDescent="0.35">
      <c r="A114" s="3" t="s">
        <v>175</v>
      </c>
      <c r="B114" s="4" t="s">
        <v>177</v>
      </c>
      <c r="C114" s="23" t="s">
        <v>116</v>
      </c>
      <c r="D114" s="3" t="s">
        <v>29</v>
      </c>
      <c r="E114" s="5" t="s">
        <v>49</v>
      </c>
      <c r="F114" s="6">
        <v>14000</v>
      </c>
      <c r="G114" s="6">
        <v>14000</v>
      </c>
      <c r="H114" s="7">
        <v>0</v>
      </c>
      <c r="I114" s="3" t="s">
        <v>114</v>
      </c>
      <c r="J114" s="3" t="s">
        <v>2</v>
      </c>
      <c r="K114" s="5" t="s">
        <v>898</v>
      </c>
    </row>
    <row r="115" spans="1:11" ht="15" thickBot="1" x14ac:dyDescent="0.35">
      <c r="A115" s="3" t="s">
        <v>175</v>
      </c>
      <c r="B115" s="4" t="s">
        <v>178</v>
      </c>
      <c r="C115" s="23" t="s">
        <v>116</v>
      </c>
      <c r="D115" s="3" t="s">
        <v>29</v>
      </c>
      <c r="E115" s="5" t="s">
        <v>49</v>
      </c>
      <c r="F115" s="6">
        <v>14000</v>
      </c>
      <c r="G115" s="6">
        <v>7000</v>
      </c>
      <c r="H115" s="6">
        <v>7000</v>
      </c>
      <c r="I115" s="3" t="s">
        <v>126</v>
      </c>
      <c r="J115" s="5"/>
      <c r="K115" s="5" t="s">
        <v>898</v>
      </c>
    </row>
    <row r="116" spans="1:11" ht="15" thickBot="1" x14ac:dyDescent="0.35">
      <c r="A116" s="3" t="s">
        <v>179</v>
      </c>
      <c r="B116" s="4" t="s">
        <v>180</v>
      </c>
      <c r="C116" s="23" t="s">
        <v>116</v>
      </c>
      <c r="D116" s="3" t="s">
        <v>29</v>
      </c>
      <c r="E116" s="5" t="s">
        <v>10</v>
      </c>
      <c r="F116" s="6">
        <v>14000</v>
      </c>
      <c r="G116" s="6">
        <v>2000</v>
      </c>
      <c r="H116" s="6">
        <v>12000</v>
      </c>
      <c r="I116" s="5"/>
      <c r="J116" s="5"/>
      <c r="K116" s="5" t="s">
        <v>898</v>
      </c>
    </row>
    <row r="117" spans="1:11" ht="15" thickBot="1" x14ac:dyDescent="0.35">
      <c r="A117" s="3" t="s">
        <v>181</v>
      </c>
      <c r="B117" s="4" t="s">
        <v>182</v>
      </c>
      <c r="C117" s="23" t="s">
        <v>116</v>
      </c>
      <c r="D117" s="3" t="s">
        <v>29</v>
      </c>
      <c r="E117" s="5" t="s">
        <v>49</v>
      </c>
      <c r="F117" s="6">
        <v>14000</v>
      </c>
      <c r="G117" s="6">
        <v>14000</v>
      </c>
      <c r="H117" s="7">
        <v>0</v>
      </c>
      <c r="I117" s="3" t="s">
        <v>126</v>
      </c>
      <c r="J117" s="3" t="s">
        <v>2</v>
      </c>
      <c r="K117" s="5" t="s">
        <v>899</v>
      </c>
    </row>
    <row r="118" spans="1:11" ht="15" thickBot="1" x14ac:dyDescent="0.35">
      <c r="A118" s="3" t="s">
        <v>181</v>
      </c>
      <c r="B118" s="4" t="s">
        <v>183</v>
      </c>
      <c r="C118" s="23" t="s">
        <v>116</v>
      </c>
      <c r="D118" s="3" t="s">
        <v>29</v>
      </c>
      <c r="E118" s="5" t="s">
        <v>49</v>
      </c>
      <c r="F118" s="6">
        <v>14000</v>
      </c>
      <c r="G118" s="6">
        <v>1000</v>
      </c>
      <c r="H118" s="6">
        <v>13000</v>
      </c>
      <c r="I118" s="5"/>
      <c r="J118" s="5"/>
      <c r="K118" s="5" t="s">
        <v>898</v>
      </c>
    </row>
    <row r="119" spans="1:11" ht="15" thickBot="1" x14ac:dyDescent="0.35">
      <c r="A119" s="3" t="s">
        <v>184</v>
      </c>
      <c r="B119" s="4" t="s">
        <v>185</v>
      </c>
      <c r="C119" s="23" t="s">
        <v>116</v>
      </c>
      <c r="D119" s="3" t="s">
        <v>29</v>
      </c>
      <c r="E119" s="5" t="s">
        <v>10</v>
      </c>
      <c r="F119" s="6">
        <v>14000</v>
      </c>
      <c r="G119" s="6">
        <v>14000</v>
      </c>
      <c r="H119" s="7">
        <v>0</v>
      </c>
      <c r="I119" s="3" t="s">
        <v>126</v>
      </c>
      <c r="J119" s="3" t="s">
        <v>2</v>
      </c>
      <c r="K119" s="5" t="s">
        <v>898</v>
      </c>
    </row>
    <row r="120" spans="1:11" ht="15" thickBot="1" x14ac:dyDescent="0.35">
      <c r="A120" s="3" t="s">
        <v>184</v>
      </c>
      <c r="B120" s="4" t="s">
        <v>186</v>
      </c>
      <c r="C120" s="23" t="s">
        <v>116</v>
      </c>
      <c r="D120" s="3" t="s">
        <v>29</v>
      </c>
      <c r="E120" s="5" t="s">
        <v>10</v>
      </c>
      <c r="F120" s="6">
        <v>14000</v>
      </c>
      <c r="G120" s="6">
        <v>1000</v>
      </c>
      <c r="H120" s="6">
        <v>13000</v>
      </c>
      <c r="I120" s="5"/>
      <c r="J120" s="5"/>
      <c r="K120" s="5" t="s">
        <v>898</v>
      </c>
    </row>
    <row r="121" spans="1:11" ht="15" thickBot="1" x14ac:dyDescent="0.35">
      <c r="A121" s="3" t="s">
        <v>184</v>
      </c>
      <c r="B121" s="4" t="s">
        <v>187</v>
      </c>
      <c r="C121" s="23" t="s">
        <v>116</v>
      </c>
      <c r="D121" s="3" t="s">
        <v>29</v>
      </c>
      <c r="E121" s="5" t="s">
        <v>49</v>
      </c>
      <c r="F121" s="6">
        <v>14000</v>
      </c>
      <c r="G121" s="6">
        <v>14000</v>
      </c>
      <c r="H121" s="7">
        <v>0</v>
      </c>
      <c r="I121" s="3" t="s">
        <v>126</v>
      </c>
      <c r="J121" s="3" t="s">
        <v>2</v>
      </c>
      <c r="K121" s="5" t="s">
        <v>898</v>
      </c>
    </row>
    <row r="122" spans="1:11" ht="15" thickBot="1" x14ac:dyDescent="0.35">
      <c r="A122" s="9">
        <v>45660</v>
      </c>
      <c r="B122" s="4" t="s">
        <v>188</v>
      </c>
      <c r="C122" s="30" t="s">
        <v>189</v>
      </c>
      <c r="D122" s="3" t="s">
        <v>0</v>
      </c>
      <c r="E122" s="5" t="s">
        <v>8</v>
      </c>
      <c r="F122" s="6">
        <v>35000</v>
      </c>
      <c r="G122" s="6">
        <v>15000</v>
      </c>
      <c r="H122" s="6">
        <v>20000</v>
      </c>
      <c r="I122" s="3" t="s">
        <v>136</v>
      </c>
      <c r="J122" s="5"/>
      <c r="K122" s="5" t="s">
        <v>898</v>
      </c>
    </row>
    <row r="123" spans="1:11" ht="15" thickBot="1" x14ac:dyDescent="0.35">
      <c r="A123" s="9">
        <v>45719</v>
      </c>
      <c r="B123" s="4" t="s">
        <v>190</v>
      </c>
      <c r="C123" s="30" t="s">
        <v>189</v>
      </c>
      <c r="D123" s="3" t="s">
        <v>29</v>
      </c>
      <c r="E123" s="5" t="s">
        <v>10</v>
      </c>
      <c r="F123" s="6">
        <v>14000</v>
      </c>
      <c r="G123" s="6">
        <v>14000</v>
      </c>
      <c r="H123" s="7">
        <v>0</v>
      </c>
      <c r="I123" s="3" t="s">
        <v>126</v>
      </c>
      <c r="J123" s="3" t="s">
        <v>2</v>
      </c>
      <c r="K123" s="5" t="s">
        <v>898</v>
      </c>
    </row>
    <row r="124" spans="1:11" ht="15" thickBot="1" x14ac:dyDescent="0.35">
      <c r="A124" s="9">
        <v>45750</v>
      </c>
      <c r="B124" s="31" t="s">
        <v>191</v>
      </c>
      <c r="C124" s="30" t="s">
        <v>189</v>
      </c>
      <c r="D124" s="3" t="s">
        <v>29</v>
      </c>
      <c r="E124" s="5" t="s">
        <v>10</v>
      </c>
      <c r="F124" s="6">
        <v>14000</v>
      </c>
      <c r="G124" s="6">
        <v>14000</v>
      </c>
      <c r="H124" s="7">
        <v>0</v>
      </c>
      <c r="I124" s="3" t="s">
        <v>192</v>
      </c>
      <c r="J124" s="3" t="s">
        <v>2</v>
      </c>
      <c r="K124" s="5" t="s">
        <v>898</v>
      </c>
    </row>
    <row r="125" spans="1:11" ht="15" thickBot="1" x14ac:dyDescent="0.35">
      <c r="A125" s="9">
        <v>45780</v>
      </c>
      <c r="B125" s="4" t="s">
        <v>193</v>
      </c>
      <c r="C125" s="30" t="s">
        <v>189</v>
      </c>
      <c r="D125" s="3" t="s">
        <v>29</v>
      </c>
      <c r="E125" s="5" t="s">
        <v>49</v>
      </c>
      <c r="F125" s="6">
        <v>14000</v>
      </c>
      <c r="G125" s="6">
        <v>14000</v>
      </c>
      <c r="H125" s="7">
        <v>0</v>
      </c>
      <c r="I125" s="3" t="s">
        <v>126</v>
      </c>
      <c r="J125" s="3" t="s">
        <v>2</v>
      </c>
      <c r="K125" s="5" t="s">
        <v>898</v>
      </c>
    </row>
    <row r="126" spans="1:11" ht="15" thickBot="1" x14ac:dyDescent="0.35">
      <c r="A126" s="9">
        <v>45811</v>
      </c>
      <c r="B126" s="4" t="s">
        <v>194</v>
      </c>
      <c r="C126" s="30" t="s">
        <v>189</v>
      </c>
      <c r="D126" s="3" t="s">
        <v>29</v>
      </c>
      <c r="E126" s="5" t="s">
        <v>8</v>
      </c>
      <c r="F126" s="6">
        <v>14000</v>
      </c>
      <c r="G126" s="6">
        <v>2000</v>
      </c>
      <c r="H126" s="6">
        <v>12000</v>
      </c>
      <c r="I126" s="5"/>
      <c r="J126" s="5"/>
      <c r="K126" s="5" t="s">
        <v>898</v>
      </c>
    </row>
    <row r="127" spans="1:11" ht="15" thickBot="1" x14ac:dyDescent="0.35">
      <c r="A127" s="9">
        <v>45811</v>
      </c>
      <c r="B127" s="4" t="s">
        <v>195</v>
      </c>
      <c r="C127" s="30" t="s">
        <v>189</v>
      </c>
      <c r="D127" s="3" t="s">
        <v>29</v>
      </c>
      <c r="E127" s="5" t="s">
        <v>8</v>
      </c>
      <c r="F127" s="6">
        <v>14000</v>
      </c>
      <c r="G127" s="6">
        <v>7000</v>
      </c>
      <c r="H127" s="6">
        <v>7000</v>
      </c>
      <c r="I127" s="3" t="s">
        <v>126</v>
      </c>
      <c r="J127" s="5"/>
      <c r="K127" s="5" t="s">
        <v>898</v>
      </c>
    </row>
    <row r="128" spans="1:11" ht="15" thickBot="1" x14ac:dyDescent="0.35">
      <c r="A128" s="9">
        <v>45841</v>
      </c>
      <c r="B128" s="4" t="s">
        <v>196</v>
      </c>
      <c r="C128" s="30" t="s">
        <v>189</v>
      </c>
      <c r="D128" s="3" t="s">
        <v>29</v>
      </c>
      <c r="E128" s="5" t="s">
        <v>8</v>
      </c>
      <c r="F128" s="6">
        <v>14000</v>
      </c>
      <c r="G128" s="6">
        <v>7000</v>
      </c>
      <c r="H128" s="6">
        <v>7000</v>
      </c>
      <c r="I128" s="3" t="s">
        <v>126</v>
      </c>
      <c r="J128" s="5"/>
      <c r="K128" s="5" t="s">
        <v>898</v>
      </c>
    </row>
    <row r="129" spans="1:11" ht="15" thickBot="1" x14ac:dyDescent="0.35">
      <c r="A129" s="9">
        <v>45841</v>
      </c>
      <c r="B129" s="4" t="s">
        <v>197</v>
      </c>
      <c r="C129" s="30" t="s">
        <v>189</v>
      </c>
      <c r="D129" s="3" t="s">
        <v>29</v>
      </c>
      <c r="E129" s="5" t="s">
        <v>8</v>
      </c>
      <c r="F129" s="6">
        <v>14000</v>
      </c>
      <c r="G129" s="6">
        <v>14000</v>
      </c>
      <c r="H129" s="7">
        <v>0</v>
      </c>
      <c r="I129" s="3" t="s">
        <v>126</v>
      </c>
      <c r="J129" s="3" t="s">
        <v>2</v>
      </c>
      <c r="K129" s="5" t="s">
        <v>898</v>
      </c>
    </row>
    <row r="130" spans="1:11" ht="15" thickBot="1" x14ac:dyDescent="0.35">
      <c r="A130" s="9">
        <v>45841</v>
      </c>
      <c r="B130" s="4" t="s">
        <v>198</v>
      </c>
      <c r="C130" s="30" t="s">
        <v>189</v>
      </c>
      <c r="D130" s="3" t="s">
        <v>29</v>
      </c>
      <c r="E130" s="5" t="s">
        <v>10</v>
      </c>
      <c r="F130" s="6">
        <v>20000</v>
      </c>
      <c r="G130" s="6">
        <v>10000</v>
      </c>
      <c r="H130" s="6">
        <v>10000</v>
      </c>
      <c r="I130" s="3" t="s">
        <v>199</v>
      </c>
      <c r="J130" s="5"/>
      <c r="K130" s="5" t="s">
        <v>898</v>
      </c>
    </row>
    <row r="131" spans="1:11" ht="15" thickBot="1" x14ac:dyDescent="0.35">
      <c r="A131" s="9">
        <v>45841</v>
      </c>
      <c r="B131" s="31" t="s">
        <v>201</v>
      </c>
      <c r="C131" s="30" t="s">
        <v>189</v>
      </c>
      <c r="D131" s="3" t="s">
        <v>29</v>
      </c>
      <c r="E131" s="5" t="s">
        <v>49</v>
      </c>
      <c r="F131" s="6">
        <v>14000</v>
      </c>
      <c r="G131" s="6">
        <v>5000</v>
      </c>
      <c r="H131" s="6">
        <v>9000</v>
      </c>
      <c r="I131" s="3" t="s">
        <v>88</v>
      </c>
      <c r="J131" s="5"/>
      <c r="K131" s="5" t="s">
        <v>898</v>
      </c>
    </row>
    <row r="132" spans="1:11" ht="15" thickBot="1" x14ac:dyDescent="0.35">
      <c r="A132" s="9">
        <v>45872</v>
      </c>
      <c r="B132" s="4" t="s">
        <v>202</v>
      </c>
      <c r="C132" s="30" t="s">
        <v>189</v>
      </c>
      <c r="D132" s="3" t="s">
        <v>29</v>
      </c>
      <c r="E132" s="5" t="s">
        <v>10</v>
      </c>
      <c r="F132" s="6">
        <v>14000</v>
      </c>
      <c r="G132" s="6">
        <v>14000</v>
      </c>
      <c r="H132" s="7">
        <v>0</v>
      </c>
      <c r="I132" s="3" t="s">
        <v>126</v>
      </c>
      <c r="J132" s="3" t="s">
        <v>2</v>
      </c>
      <c r="K132" s="5" t="s">
        <v>898</v>
      </c>
    </row>
    <row r="133" spans="1:11" ht="15" thickBot="1" x14ac:dyDescent="0.35">
      <c r="A133" s="9">
        <v>45903</v>
      </c>
      <c r="B133" s="4" t="s">
        <v>203</v>
      </c>
      <c r="C133" s="30" t="s">
        <v>189</v>
      </c>
      <c r="D133" s="3" t="s">
        <v>29</v>
      </c>
      <c r="E133" s="5" t="s">
        <v>10</v>
      </c>
      <c r="F133" s="6">
        <v>14000</v>
      </c>
      <c r="G133" s="6">
        <v>2000</v>
      </c>
      <c r="H133" s="6">
        <v>12000</v>
      </c>
      <c r="I133" s="5"/>
      <c r="J133" s="5"/>
      <c r="K133" s="5" t="s">
        <v>898</v>
      </c>
    </row>
    <row r="134" spans="1:11" ht="15" thickBot="1" x14ac:dyDescent="0.35">
      <c r="A134" s="9">
        <v>45933</v>
      </c>
      <c r="B134" s="4" t="s">
        <v>204</v>
      </c>
      <c r="C134" s="30" t="s">
        <v>189</v>
      </c>
      <c r="D134" s="3" t="s">
        <v>29</v>
      </c>
      <c r="E134" s="5" t="s">
        <v>10</v>
      </c>
      <c r="F134" s="6">
        <v>14000</v>
      </c>
      <c r="G134" s="6">
        <v>14000</v>
      </c>
      <c r="H134" s="7">
        <v>0</v>
      </c>
      <c r="I134" s="3" t="s">
        <v>126</v>
      </c>
      <c r="J134" s="3" t="s">
        <v>2</v>
      </c>
      <c r="K134" s="5" t="s">
        <v>898</v>
      </c>
    </row>
    <row r="135" spans="1:11" ht="15" thickBot="1" x14ac:dyDescent="0.35">
      <c r="A135" s="9">
        <v>45933</v>
      </c>
      <c r="B135" s="4" t="s">
        <v>205</v>
      </c>
      <c r="C135" s="30" t="s">
        <v>189</v>
      </c>
      <c r="D135" s="3" t="s">
        <v>29</v>
      </c>
      <c r="E135" s="5" t="s">
        <v>10</v>
      </c>
      <c r="F135" s="6">
        <v>14000</v>
      </c>
      <c r="G135" s="6">
        <v>7000</v>
      </c>
      <c r="H135" s="6">
        <v>7000</v>
      </c>
      <c r="I135" s="3" t="s">
        <v>88</v>
      </c>
      <c r="J135" s="5"/>
      <c r="K135" s="5" t="s">
        <v>898</v>
      </c>
    </row>
    <row r="136" spans="1:11" ht="15" thickBot="1" x14ac:dyDescent="0.35">
      <c r="A136" s="9">
        <v>45933</v>
      </c>
      <c r="B136" s="4" t="s">
        <v>206</v>
      </c>
      <c r="C136" s="30" t="s">
        <v>189</v>
      </c>
      <c r="D136" s="3" t="s">
        <v>29</v>
      </c>
      <c r="E136" s="5" t="s">
        <v>49</v>
      </c>
      <c r="F136" s="6">
        <v>10000</v>
      </c>
      <c r="G136" s="6">
        <v>10000</v>
      </c>
      <c r="H136" s="7">
        <v>0</v>
      </c>
      <c r="I136" s="3" t="s">
        <v>126</v>
      </c>
      <c r="J136" s="3" t="s">
        <v>2</v>
      </c>
      <c r="K136" s="5" t="s">
        <v>898</v>
      </c>
    </row>
    <row r="137" spans="1:11" ht="15" thickBot="1" x14ac:dyDescent="0.35">
      <c r="A137" s="9">
        <v>45933</v>
      </c>
      <c r="B137" s="4" t="s">
        <v>207</v>
      </c>
      <c r="C137" s="30" t="s">
        <v>189</v>
      </c>
      <c r="D137" s="3" t="s">
        <v>29</v>
      </c>
      <c r="E137" s="5" t="s">
        <v>49</v>
      </c>
      <c r="F137" s="6">
        <v>10000</v>
      </c>
      <c r="G137" s="6">
        <v>10000</v>
      </c>
      <c r="H137" s="7">
        <v>0</v>
      </c>
      <c r="I137" s="3" t="s">
        <v>126</v>
      </c>
      <c r="J137" s="3" t="s">
        <v>2</v>
      </c>
      <c r="K137" s="5" t="s">
        <v>899</v>
      </c>
    </row>
    <row r="138" spans="1:11" ht="15" thickBot="1" x14ac:dyDescent="0.35">
      <c r="A138" s="9">
        <v>45933</v>
      </c>
      <c r="B138" s="4" t="s">
        <v>208</v>
      </c>
      <c r="C138" s="30" t="s">
        <v>189</v>
      </c>
      <c r="D138" s="3" t="s">
        <v>29</v>
      </c>
      <c r="E138" s="5" t="s">
        <v>8</v>
      </c>
      <c r="F138" s="6">
        <v>14000</v>
      </c>
      <c r="G138" s="6">
        <v>1000</v>
      </c>
      <c r="H138" s="6">
        <v>13000</v>
      </c>
      <c r="I138" s="5"/>
      <c r="J138" s="5"/>
      <c r="K138" s="5" t="s">
        <v>898</v>
      </c>
    </row>
    <row r="139" spans="1:11" ht="15" thickBot="1" x14ac:dyDescent="0.35">
      <c r="A139" s="9">
        <v>45933</v>
      </c>
      <c r="B139" s="4" t="s">
        <v>209</v>
      </c>
      <c r="C139" s="30" t="s">
        <v>189</v>
      </c>
      <c r="D139" s="3" t="s">
        <v>29</v>
      </c>
      <c r="E139" s="5" t="s">
        <v>8</v>
      </c>
      <c r="F139" s="6">
        <v>10000</v>
      </c>
      <c r="G139" s="6">
        <v>10000</v>
      </c>
      <c r="H139" s="7">
        <v>0</v>
      </c>
      <c r="I139" s="3" t="s">
        <v>126</v>
      </c>
      <c r="J139" s="3" t="s">
        <v>2</v>
      </c>
      <c r="K139" s="5" t="s">
        <v>898</v>
      </c>
    </row>
    <row r="140" spans="1:11" ht="15" thickBot="1" x14ac:dyDescent="0.35">
      <c r="A140" s="9">
        <v>45933</v>
      </c>
      <c r="B140" s="4" t="s">
        <v>210</v>
      </c>
      <c r="C140" s="30" t="s">
        <v>189</v>
      </c>
      <c r="D140" s="3" t="s">
        <v>29</v>
      </c>
      <c r="E140" s="5" t="s">
        <v>8</v>
      </c>
      <c r="F140" s="6">
        <v>10000</v>
      </c>
      <c r="G140" s="6">
        <v>10000</v>
      </c>
      <c r="H140" s="7">
        <v>0</v>
      </c>
      <c r="I140" s="3" t="s">
        <v>126</v>
      </c>
      <c r="J140" s="3" t="s">
        <v>2</v>
      </c>
      <c r="K140" s="5" t="s">
        <v>898</v>
      </c>
    </row>
    <row r="141" spans="1:11" ht="15" thickBot="1" x14ac:dyDescent="0.35">
      <c r="A141" s="34">
        <v>45964</v>
      </c>
      <c r="B141" s="35" t="s">
        <v>211</v>
      </c>
      <c r="C141" s="36" t="s">
        <v>189</v>
      </c>
      <c r="D141" s="37" t="s">
        <v>29</v>
      </c>
      <c r="E141" s="38" t="s">
        <v>49</v>
      </c>
      <c r="F141" s="39">
        <v>14000</v>
      </c>
      <c r="G141" s="39">
        <v>1000</v>
      </c>
      <c r="H141" s="39">
        <v>13000</v>
      </c>
      <c r="I141" s="38"/>
      <c r="J141" s="38"/>
      <c r="K141" s="5" t="s">
        <v>898</v>
      </c>
    </row>
    <row r="142" spans="1:11" ht="15" thickBot="1" x14ac:dyDescent="0.35">
      <c r="A142" s="9">
        <v>45964</v>
      </c>
      <c r="B142" s="4" t="s">
        <v>212</v>
      </c>
      <c r="C142" s="30" t="s">
        <v>189</v>
      </c>
      <c r="D142" s="3" t="s">
        <v>29</v>
      </c>
      <c r="E142" s="5" t="s">
        <v>49</v>
      </c>
      <c r="F142" s="6">
        <v>14000</v>
      </c>
      <c r="G142" s="6">
        <v>7000</v>
      </c>
      <c r="H142" s="6">
        <v>7000</v>
      </c>
      <c r="I142" s="3" t="s">
        <v>88</v>
      </c>
      <c r="J142" s="5"/>
      <c r="K142" s="5" t="s">
        <v>898</v>
      </c>
    </row>
    <row r="143" spans="1:11" ht="15" thickBot="1" x14ac:dyDescent="0.35">
      <c r="A143" s="9">
        <v>45964</v>
      </c>
      <c r="B143" s="4" t="s">
        <v>213</v>
      </c>
      <c r="C143" s="30" t="s">
        <v>189</v>
      </c>
      <c r="D143" s="3" t="s">
        <v>29</v>
      </c>
      <c r="E143" s="5" t="s">
        <v>49</v>
      </c>
      <c r="F143" s="6">
        <v>14000</v>
      </c>
      <c r="G143" s="6">
        <v>14000</v>
      </c>
      <c r="H143" s="7">
        <v>0</v>
      </c>
      <c r="I143" s="3" t="s">
        <v>126</v>
      </c>
      <c r="J143" s="3" t="s">
        <v>2</v>
      </c>
      <c r="K143" s="5" t="s">
        <v>898</v>
      </c>
    </row>
    <row r="144" spans="1:11" ht="15" thickBot="1" x14ac:dyDescent="0.35">
      <c r="A144" s="9">
        <v>45994</v>
      </c>
      <c r="B144" s="4" t="s">
        <v>214</v>
      </c>
      <c r="C144" s="30" t="s">
        <v>189</v>
      </c>
      <c r="D144" s="3" t="s">
        <v>29</v>
      </c>
      <c r="E144" s="5" t="s">
        <v>10</v>
      </c>
      <c r="F144" s="6">
        <v>14000</v>
      </c>
      <c r="G144" s="6">
        <v>14000</v>
      </c>
      <c r="H144" s="7">
        <v>0</v>
      </c>
      <c r="I144" s="3" t="s">
        <v>126</v>
      </c>
      <c r="J144" s="3" t="s">
        <v>2</v>
      </c>
      <c r="K144" s="5" t="s">
        <v>898</v>
      </c>
    </row>
    <row r="145" spans="1:11" ht="15" thickBot="1" x14ac:dyDescent="0.35">
      <c r="A145" s="9">
        <v>45994</v>
      </c>
      <c r="B145" s="4" t="s">
        <v>215</v>
      </c>
      <c r="C145" s="30" t="s">
        <v>189</v>
      </c>
      <c r="D145" s="3" t="s">
        <v>29</v>
      </c>
      <c r="E145" s="5" t="s">
        <v>49</v>
      </c>
      <c r="F145" s="6">
        <v>14000</v>
      </c>
      <c r="G145" s="6">
        <v>14000</v>
      </c>
      <c r="H145" s="7">
        <v>0</v>
      </c>
      <c r="I145" s="3" t="s">
        <v>126</v>
      </c>
      <c r="J145" s="3" t="s">
        <v>2</v>
      </c>
      <c r="K145" s="5" t="s">
        <v>898</v>
      </c>
    </row>
    <row r="146" spans="1:11" ht="15" thickBot="1" x14ac:dyDescent="0.35">
      <c r="A146" s="9">
        <v>45994</v>
      </c>
      <c r="B146" s="4" t="s">
        <v>216</v>
      </c>
      <c r="C146" s="30" t="s">
        <v>189</v>
      </c>
      <c r="D146" s="3" t="s">
        <v>29</v>
      </c>
      <c r="E146" s="5" t="s">
        <v>8</v>
      </c>
      <c r="F146" s="6">
        <v>14000</v>
      </c>
      <c r="G146" s="6">
        <v>14000</v>
      </c>
      <c r="H146" s="7">
        <v>0</v>
      </c>
      <c r="I146" s="3" t="s">
        <v>88</v>
      </c>
      <c r="J146" s="3" t="s">
        <v>2</v>
      </c>
      <c r="K146" s="5" t="s">
        <v>898</v>
      </c>
    </row>
    <row r="147" spans="1:11" ht="15" thickBot="1" x14ac:dyDescent="0.35">
      <c r="A147" s="9">
        <v>45994</v>
      </c>
      <c r="B147" s="4" t="s">
        <v>217</v>
      </c>
      <c r="C147" s="30" t="s">
        <v>189</v>
      </c>
      <c r="D147" s="3" t="s">
        <v>29</v>
      </c>
      <c r="E147" s="5" t="s">
        <v>8</v>
      </c>
      <c r="F147" s="6">
        <v>14000</v>
      </c>
      <c r="G147" s="6">
        <v>10000</v>
      </c>
      <c r="H147" s="6">
        <v>4000</v>
      </c>
      <c r="I147" s="3" t="s">
        <v>126</v>
      </c>
      <c r="J147" s="5"/>
      <c r="K147" s="5" t="s">
        <v>898</v>
      </c>
    </row>
    <row r="148" spans="1:11" ht="15" thickBot="1" x14ac:dyDescent="0.35">
      <c r="A148" s="3" t="s">
        <v>218</v>
      </c>
      <c r="B148" s="4" t="s">
        <v>219</v>
      </c>
      <c r="C148" s="30" t="s">
        <v>189</v>
      </c>
      <c r="D148" s="3" t="s">
        <v>29</v>
      </c>
      <c r="E148" s="5" t="s">
        <v>8</v>
      </c>
      <c r="F148" s="6">
        <v>14000</v>
      </c>
      <c r="G148" s="6">
        <v>14000</v>
      </c>
      <c r="H148" s="7">
        <v>0</v>
      </c>
      <c r="I148" s="3" t="s">
        <v>88</v>
      </c>
      <c r="J148" s="3" t="s">
        <v>2</v>
      </c>
      <c r="K148" s="5" t="s">
        <v>898</v>
      </c>
    </row>
    <row r="149" spans="1:11" ht="15" thickBot="1" x14ac:dyDescent="0.35">
      <c r="A149" s="3" t="s">
        <v>220</v>
      </c>
      <c r="B149" s="4" t="s">
        <v>221</v>
      </c>
      <c r="C149" s="30" t="s">
        <v>189</v>
      </c>
      <c r="D149" s="3" t="s">
        <v>29</v>
      </c>
      <c r="E149" s="5" t="s">
        <v>8</v>
      </c>
      <c r="F149" s="6">
        <v>14000</v>
      </c>
      <c r="G149" s="6">
        <v>14000</v>
      </c>
      <c r="H149" s="7">
        <v>0</v>
      </c>
      <c r="I149" s="3" t="s">
        <v>126</v>
      </c>
      <c r="J149" s="3" t="s">
        <v>2</v>
      </c>
      <c r="K149" s="5" t="s">
        <v>898</v>
      </c>
    </row>
    <row r="150" spans="1:11" ht="15" thickBot="1" x14ac:dyDescent="0.35">
      <c r="A150" s="37" t="s">
        <v>220</v>
      </c>
      <c r="B150" s="35" t="s">
        <v>222</v>
      </c>
      <c r="C150" s="36" t="s">
        <v>189</v>
      </c>
      <c r="D150" s="37" t="s">
        <v>29</v>
      </c>
      <c r="E150" s="38" t="s">
        <v>49</v>
      </c>
      <c r="F150" s="39">
        <v>14000</v>
      </c>
      <c r="G150" s="39">
        <v>1000</v>
      </c>
      <c r="H150" s="39">
        <v>13000</v>
      </c>
      <c r="I150" s="38"/>
      <c r="J150" s="38"/>
      <c r="K150" s="5" t="s">
        <v>899</v>
      </c>
    </row>
    <row r="151" spans="1:11" ht="15" thickBot="1" x14ac:dyDescent="0.35">
      <c r="A151" s="3" t="s">
        <v>220</v>
      </c>
      <c r="B151" s="4" t="s">
        <v>223</v>
      </c>
      <c r="C151" s="30" t="s">
        <v>189</v>
      </c>
      <c r="D151" s="3" t="s">
        <v>29</v>
      </c>
      <c r="E151" s="5" t="s">
        <v>8</v>
      </c>
      <c r="F151" s="6">
        <v>14000</v>
      </c>
      <c r="G151" s="6">
        <v>7000</v>
      </c>
      <c r="H151" s="6">
        <v>7000</v>
      </c>
      <c r="I151" s="3" t="s">
        <v>88</v>
      </c>
      <c r="J151" s="5"/>
      <c r="K151" s="5" t="s">
        <v>898</v>
      </c>
    </row>
    <row r="152" spans="1:11" ht="15" thickBot="1" x14ac:dyDescent="0.35">
      <c r="A152" s="3" t="s">
        <v>220</v>
      </c>
      <c r="B152" s="4" t="s">
        <v>224</v>
      </c>
      <c r="C152" s="30" t="s">
        <v>189</v>
      </c>
      <c r="D152" s="3" t="s">
        <v>29</v>
      </c>
      <c r="E152" s="5" t="s">
        <v>49</v>
      </c>
      <c r="F152" s="6">
        <v>14000</v>
      </c>
      <c r="G152" s="6">
        <v>14000</v>
      </c>
      <c r="H152" s="7">
        <v>0</v>
      </c>
      <c r="I152" s="3" t="s">
        <v>88</v>
      </c>
      <c r="J152" s="3" t="s">
        <v>2</v>
      </c>
      <c r="K152" s="5" t="s">
        <v>898</v>
      </c>
    </row>
    <row r="153" spans="1:11" ht="15" thickBot="1" x14ac:dyDescent="0.35">
      <c r="A153" s="3" t="s">
        <v>220</v>
      </c>
      <c r="B153" s="4" t="s">
        <v>225</v>
      </c>
      <c r="C153" s="30" t="s">
        <v>189</v>
      </c>
      <c r="D153" s="3" t="s">
        <v>29</v>
      </c>
      <c r="E153" s="5" t="s">
        <v>49</v>
      </c>
      <c r="F153" s="6">
        <v>14000</v>
      </c>
      <c r="G153" s="6">
        <v>14000</v>
      </c>
      <c r="H153" s="7">
        <v>0</v>
      </c>
      <c r="I153" s="3" t="s">
        <v>126</v>
      </c>
      <c r="J153" s="3" t="s">
        <v>2</v>
      </c>
      <c r="K153" s="5" t="s">
        <v>898</v>
      </c>
    </row>
    <row r="154" spans="1:11" ht="15" thickBot="1" x14ac:dyDescent="0.35">
      <c r="A154" s="3" t="s">
        <v>226</v>
      </c>
      <c r="B154" s="4" t="s">
        <v>227</v>
      </c>
      <c r="C154" s="30" t="s">
        <v>189</v>
      </c>
      <c r="D154" s="3" t="s">
        <v>29</v>
      </c>
      <c r="E154" s="5" t="s">
        <v>10</v>
      </c>
      <c r="F154" s="6">
        <v>14000</v>
      </c>
      <c r="G154" s="6">
        <v>14000</v>
      </c>
      <c r="H154" s="7">
        <v>0</v>
      </c>
      <c r="I154" s="3" t="s">
        <v>88</v>
      </c>
      <c r="J154" s="3" t="s">
        <v>2</v>
      </c>
      <c r="K154" s="5" t="s">
        <v>898</v>
      </c>
    </row>
    <row r="155" spans="1:11" ht="15" thickBot="1" x14ac:dyDescent="0.35">
      <c r="A155" s="3" t="s">
        <v>226</v>
      </c>
      <c r="B155" s="4" t="s">
        <v>228</v>
      </c>
      <c r="C155" s="30" t="s">
        <v>189</v>
      </c>
      <c r="D155" s="3" t="s">
        <v>29</v>
      </c>
      <c r="E155" s="5" t="s">
        <v>10</v>
      </c>
      <c r="F155" s="6">
        <v>14000</v>
      </c>
      <c r="G155" s="6">
        <v>14000</v>
      </c>
      <c r="H155" s="7">
        <v>0</v>
      </c>
      <c r="I155" s="3" t="s">
        <v>229</v>
      </c>
      <c r="J155" s="3" t="s">
        <v>2</v>
      </c>
      <c r="K155" s="5" t="s">
        <v>898</v>
      </c>
    </row>
    <row r="156" spans="1:11" ht="15" thickBot="1" x14ac:dyDescent="0.35">
      <c r="A156" s="3" t="s">
        <v>226</v>
      </c>
      <c r="B156" s="4" t="s">
        <v>230</v>
      </c>
      <c r="C156" s="30" t="s">
        <v>189</v>
      </c>
      <c r="D156" s="3" t="s">
        <v>29</v>
      </c>
      <c r="E156" s="5" t="s">
        <v>49</v>
      </c>
      <c r="F156" s="6">
        <v>10000</v>
      </c>
      <c r="G156" s="6">
        <v>10000</v>
      </c>
      <c r="H156" s="7">
        <v>0</v>
      </c>
      <c r="I156" s="3" t="s">
        <v>126</v>
      </c>
      <c r="J156" s="3" t="s">
        <v>2</v>
      </c>
      <c r="K156" s="5" t="s">
        <v>898</v>
      </c>
    </row>
    <row r="157" spans="1:11" ht="15" thickBot="1" x14ac:dyDescent="0.35">
      <c r="A157" s="3" t="s">
        <v>226</v>
      </c>
      <c r="B157" s="4" t="s">
        <v>231</v>
      </c>
      <c r="C157" s="30" t="s">
        <v>189</v>
      </c>
      <c r="D157" s="3" t="s">
        <v>29</v>
      </c>
      <c r="E157" s="5" t="s">
        <v>49</v>
      </c>
      <c r="F157" s="6">
        <v>10000</v>
      </c>
      <c r="G157" s="6">
        <v>10000</v>
      </c>
      <c r="H157" s="7">
        <v>0</v>
      </c>
      <c r="I157" s="3" t="s">
        <v>126</v>
      </c>
      <c r="J157" s="3" t="s">
        <v>2</v>
      </c>
      <c r="K157" s="5" t="s">
        <v>899</v>
      </c>
    </row>
    <row r="158" spans="1:11" ht="15" thickBot="1" x14ac:dyDescent="0.35">
      <c r="A158" s="3" t="s">
        <v>226</v>
      </c>
      <c r="B158" s="4" t="s">
        <v>232</v>
      </c>
      <c r="C158" s="30" t="s">
        <v>189</v>
      </c>
      <c r="D158" s="3" t="s">
        <v>29</v>
      </c>
      <c r="E158" s="5" t="s">
        <v>10</v>
      </c>
      <c r="F158" s="6">
        <v>14000</v>
      </c>
      <c r="G158" s="6">
        <v>2000</v>
      </c>
      <c r="H158" s="6">
        <v>12000</v>
      </c>
      <c r="I158" s="5"/>
      <c r="J158" s="5"/>
      <c r="K158" s="5" t="s">
        <v>898</v>
      </c>
    </row>
    <row r="159" spans="1:11" ht="15" thickBot="1" x14ac:dyDescent="0.35">
      <c r="A159" s="3" t="s">
        <v>233</v>
      </c>
      <c r="B159" s="4" t="s">
        <v>234</v>
      </c>
      <c r="C159" s="30" t="s">
        <v>189</v>
      </c>
      <c r="D159" s="3" t="s">
        <v>29</v>
      </c>
      <c r="E159" s="5" t="s">
        <v>8</v>
      </c>
      <c r="F159" s="6">
        <v>14000</v>
      </c>
      <c r="G159" s="6">
        <v>14000</v>
      </c>
      <c r="H159" s="7">
        <v>0</v>
      </c>
      <c r="I159" s="3" t="s">
        <v>229</v>
      </c>
      <c r="J159" s="3" t="s">
        <v>2</v>
      </c>
      <c r="K159" s="5" t="s">
        <v>898</v>
      </c>
    </row>
    <row r="160" spans="1:11" ht="15" thickBot="1" x14ac:dyDescent="0.35">
      <c r="A160" s="3" t="s">
        <v>235</v>
      </c>
      <c r="B160" s="4" t="s">
        <v>236</v>
      </c>
      <c r="C160" s="30" t="s">
        <v>189</v>
      </c>
      <c r="D160" s="3" t="s">
        <v>29</v>
      </c>
      <c r="E160" s="5" t="s">
        <v>10</v>
      </c>
      <c r="F160" s="6">
        <v>14000</v>
      </c>
      <c r="G160" s="6">
        <v>1000</v>
      </c>
      <c r="H160" s="6">
        <v>13000</v>
      </c>
      <c r="I160" s="5"/>
      <c r="J160" s="5"/>
      <c r="K160" s="5" t="s">
        <v>898</v>
      </c>
    </row>
    <row r="161" spans="1:11" ht="15" thickBot="1" x14ac:dyDescent="0.35">
      <c r="A161" s="3" t="s">
        <v>235</v>
      </c>
      <c r="B161" s="4" t="s">
        <v>237</v>
      </c>
      <c r="C161" s="30" t="s">
        <v>189</v>
      </c>
      <c r="D161" s="3" t="s">
        <v>29</v>
      </c>
      <c r="E161" s="5" t="s">
        <v>10</v>
      </c>
      <c r="F161" s="6">
        <v>14000</v>
      </c>
      <c r="G161" s="6">
        <v>11000</v>
      </c>
      <c r="H161" s="6">
        <v>3000</v>
      </c>
      <c r="I161" s="3" t="s">
        <v>88</v>
      </c>
      <c r="J161" s="5"/>
      <c r="K161" s="5" t="s">
        <v>898</v>
      </c>
    </row>
    <row r="162" spans="1:11" ht="15" thickBot="1" x14ac:dyDescent="0.35">
      <c r="A162" s="3" t="s">
        <v>235</v>
      </c>
      <c r="B162" s="4" t="s">
        <v>238</v>
      </c>
      <c r="C162" s="30" t="s">
        <v>189</v>
      </c>
      <c r="D162" s="3" t="s">
        <v>29</v>
      </c>
      <c r="E162" s="5" t="s">
        <v>49</v>
      </c>
      <c r="F162" s="6">
        <v>14000</v>
      </c>
      <c r="G162" s="6">
        <v>14000</v>
      </c>
      <c r="H162" s="7">
        <v>0</v>
      </c>
      <c r="I162" s="3" t="s">
        <v>229</v>
      </c>
      <c r="J162" s="3" t="s">
        <v>2</v>
      </c>
      <c r="K162" s="5" t="s">
        <v>898</v>
      </c>
    </row>
    <row r="163" spans="1:11" ht="15" thickBot="1" x14ac:dyDescent="0.35">
      <c r="A163" s="3" t="s">
        <v>235</v>
      </c>
      <c r="B163" s="4" t="s">
        <v>239</v>
      </c>
      <c r="C163" s="30" t="s">
        <v>189</v>
      </c>
      <c r="D163" s="3" t="s">
        <v>29</v>
      </c>
      <c r="E163" s="5" t="s">
        <v>10</v>
      </c>
      <c r="F163" s="6">
        <v>14000</v>
      </c>
      <c r="G163" s="6">
        <v>1000</v>
      </c>
      <c r="H163" s="6">
        <v>13000</v>
      </c>
      <c r="I163" s="5"/>
      <c r="J163" s="5"/>
      <c r="K163" s="5" t="s">
        <v>898</v>
      </c>
    </row>
    <row r="164" spans="1:11" ht="15" thickBot="1" x14ac:dyDescent="0.35">
      <c r="A164" s="3" t="s">
        <v>240</v>
      </c>
      <c r="B164" s="4" t="s">
        <v>241</v>
      </c>
      <c r="C164" s="30" t="s">
        <v>189</v>
      </c>
      <c r="D164" s="3" t="s">
        <v>29</v>
      </c>
      <c r="E164" s="5" t="s">
        <v>49</v>
      </c>
      <c r="F164" s="6">
        <v>14000</v>
      </c>
      <c r="G164" s="6">
        <v>14000</v>
      </c>
      <c r="H164" s="7">
        <v>0</v>
      </c>
      <c r="I164" s="3" t="s">
        <v>88</v>
      </c>
      <c r="J164" s="3" t="s">
        <v>2</v>
      </c>
      <c r="K164" s="5" t="s">
        <v>898</v>
      </c>
    </row>
    <row r="165" spans="1:11" ht="15" thickBot="1" x14ac:dyDescent="0.35">
      <c r="A165" s="3" t="s">
        <v>240</v>
      </c>
      <c r="B165" s="4" t="s">
        <v>242</v>
      </c>
      <c r="C165" s="30" t="s">
        <v>189</v>
      </c>
      <c r="D165" s="3" t="s">
        <v>29</v>
      </c>
      <c r="E165" s="5" t="s">
        <v>8</v>
      </c>
      <c r="F165" s="6">
        <v>14000</v>
      </c>
      <c r="G165" s="6">
        <v>7000</v>
      </c>
      <c r="H165" s="6">
        <v>7000</v>
      </c>
      <c r="I165" s="3" t="s">
        <v>229</v>
      </c>
      <c r="J165" s="5"/>
      <c r="K165" s="5" t="s">
        <v>898</v>
      </c>
    </row>
    <row r="166" spans="1:11" ht="15" thickBot="1" x14ac:dyDescent="0.35">
      <c r="A166" s="3" t="s">
        <v>240</v>
      </c>
      <c r="B166" s="4" t="s">
        <v>243</v>
      </c>
      <c r="C166" s="30" t="s">
        <v>189</v>
      </c>
      <c r="D166" s="3" t="s">
        <v>29</v>
      </c>
      <c r="E166" s="5" t="s">
        <v>10</v>
      </c>
      <c r="F166" s="6">
        <v>14000</v>
      </c>
      <c r="G166" s="6">
        <v>14000</v>
      </c>
      <c r="H166" s="7">
        <v>0</v>
      </c>
      <c r="I166" s="3" t="s">
        <v>88</v>
      </c>
      <c r="J166" s="3" t="s">
        <v>2</v>
      </c>
      <c r="K166" s="5" t="s">
        <v>898</v>
      </c>
    </row>
    <row r="167" spans="1:11" ht="15" thickBot="1" x14ac:dyDescent="0.35">
      <c r="A167" s="40" t="s">
        <v>240</v>
      </c>
      <c r="B167" s="31" t="s">
        <v>244</v>
      </c>
      <c r="C167" s="41" t="s">
        <v>189</v>
      </c>
      <c r="D167" s="40" t="s">
        <v>29</v>
      </c>
      <c r="E167" s="32" t="s">
        <v>49</v>
      </c>
      <c r="F167" s="42">
        <v>14000</v>
      </c>
      <c r="G167" s="42">
        <v>0</v>
      </c>
      <c r="H167" s="42">
        <v>14000</v>
      </c>
      <c r="I167" s="32"/>
      <c r="J167" s="32"/>
      <c r="K167" s="5" t="s">
        <v>898</v>
      </c>
    </row>
    <row r="168" spans="1:11" ht="15" thickBot="1" x14ac:dyDescent="0.35">
      <c r="A168" s="3" t="s">
        <v>240</v>
      </c>
      <c r="B168" s="4" t="s">
        <v>245</v>
      </c>
      <c r="C168" s="30" t="s">
        <v>189</v>
      </c>
      <c r="D168" s="3" t="s">
        <v>29</v>
      </c>
      <c r="E168" s="5" t="s">
        <v>49</v>
      </c>
      <c r="F168" s="6">
        <v>14000</v>
      </c>
      <c r="G168" s="6">
        <v>14000</v>
      </c>
      <c r="H168" s="7">
        <v>0</v>
      </c>
      <c r="I168" s="3" t="s">
        <v>88</v>
      </c>
      <c r="J168" s="3" t="s">
        <v>2</v>
      </c>
      <c r="K168" s="5" t="s">
        <v>898</v>
      </c>
    </row>
    <row r="169" spans="1:11" ht="15" thickBot="1" x14ac:dyDescent="0.35">
      <c r="A169" s="3" t="s">
        <v>246</v>
      </c>
      <c r="B169" s="4" t="s">
        <v>247</v>
      </c>
      <c r="C169" s="30" t="s">
        <v>189</v>
      </c>
      <c r="D169" s="3" t="s">
        <v>29</v>
      </c>
      <c r="E169" s="5" t="s">
        <v>10</v>
      </c>
      <c r="F169" s="6">
        <v>14000</v>
      </c>
      <c r="G169" s="6">
        <v>7000</v>
      </c>
      <c r="H169" s="6">
        <v>7000</v>
      </c>
      <c r="I169" s="3" t="s">
        <v>88</v>
      </c>
      <c r="J169" s="5"/>
      <c r="K169" s="5" t="s">
        <v>898</v>
      </c>
    </row>
    <row r="170" spans="1:11" ht="15" thickBot="1" x14ac:dyDescent="0.35">
      <c r="A170" s="3" t="s">
        <v>246</v>
      </c>
      <c r="B170" s="4" t="s">
        <v>248</v>
      </c>
      <c r="C170" s="30" t="s">
        <v>189</v>
      </c>
      <c r="D170" s="3" t="s">
        <v>29</v>
      </c>
      <c r="E170" s="5" t="s">
        <v>10</v>
      </c>
      <c r="F170" s="6">
        <v>14000</v>
      </c>
      <c r="G170" s="6">
        <v>1000</v>
      </c>
      <c r="H170" s="6">
        <v>13000</v>
      </c>
      <c r="I170" s="5"/>
      <c r="J170" s="5"/>
      <c r="K170" s="5" t="s">
        <v>898</v>
      </c>
    </row>
    <row r="171" spans="1:11" ht="15" thickBot="1" x14ac:dyDescent="0.35">
      <c r="A171" s="3" t="s">
        <v>246</v>
      </c>
      <c r="B171" s="4" t="s">
        <v>249</v>
      </c>
      <c r="C171" s="30" t="s">
        <v>189</v>
      </c>
      <c r="D171" s="3" t="s">
        <v>29</v>
      </c>
      <c r="E171" s="5" t="s">
        <v>10</v>
      </c>
      <c r="F171" s="6">
        <v>14000</v>
      </c>
      <c r="G171" s="6">
        <v>2000</v>
      </c>
      <c r="H171" s="6">
        <v>12000</v>
      </c>
      <c r="I171" s="5"/>
      <c r="J171" s="5"/>
      <c r="K171" s="5" t="s">
        <v>898</v>
      </c>
    </row>
    <row r="172" spans="1:11" ht="15" thickBot="1" x14ac:dyDescent="0.35">
      <c r="A172" s="3" t="s">
        <v>246</v>
      </c>
      <c r="B172" s="4" t="s">
        <v>250</v>
      </c>
      <c r="C172" s="30" t="s">
        <v>189</v>
      </c>
      <c r="D172" s="3" t="s">
        <v>29</v>
      </c>
      <c r="E172" s="5" t="s">
        <v>8</v>
      </c>
      <c r="F172" s="6">
        <v>14000</v>
      </c>
      <c r="G172" s="6">
        <v>14000</v>
      </c>
      <c r="H172" s="7">
        <v>0</v>
      </c>
      <c r="I172" s="3" t="s">
        <v>251</v>
      </c>
      <c r="J172" s="3" t="s">
        <v>2</v>
      </c>
      <c r="K172" s="5" t="s">
        <v>898</v>
      </c>
    </row>
    <row r="173" spans="1:11" ht="15" thickBot="1" x14ac:dyDescent="0.35">
      <c r="A173" s="3" t="s">
        <v>246</v>
      </c>
      <c r="B173" s="4" t="s">
        <v>252</v>
      </c>
      <c r="C173" s="30" t="s">
        <v>189</v>
      </c>
      <c r="D173" s="3" t="s">
        <v>29</v>
      </c>
      <c r="E173" s="5" t="s">
        <v>8</v>
      </c>
      <c r="F173" s="6">
        <v>14000</v>
      </c>
      <c r="G173" s="6">
        <v>14000</v>
      </c>
      <c r="H173" s="7">
        <v>0</v>
      </c>
      <c r="I173" s="3" t="s">
        <v>251</v>
      </c>
      <c r="J173" s="3" t="s">
        <v>2</v>
      </c>
      <c r="K173" s="5" t="s">
        <v>898</v>
      </c>
    </row>
    <row r="174" spans="1:11" ht="15" thickBot="1" x14ac:dyDescent="0.35">
      <c r="A174" s="3" t="s">
        <v>253</v>
      </c>
      <c r="B174" s="4" t="s">
        <v>254</v>
      </c>
      <c r="C174" s="30" t="s">
        <v>189</v>
      </c>
      <c r="D174" s="3" t="s">
        <v>29</v>
      </c>
      <c r="E174" s="5" t="s">
        <v>10</v>
      </c>
      <c r="F174" s="6">
        <v>14000</v>
      </c>
      <c r="G174" s="6">
        <v>14000</v>
      </c>
      <c r="H174" s="7">
        <v>0</v>
      </c>
      <c r="I174" s="3" t="s">
        <v>88</v>
      </c>
      <c r="J174" s="3" t="s">
        <v>2</v>
      </c>
      <c r="K174" s="5" t="s">
        <v>898</v>
      </c>
    </row>
    <row r="175" spans="1:11" ht="15" thickBot="1" x14ac:dyDescent="0.35">
      <c r="A175" s="3" t="s">
        <v>253</v>
      </c>
      <c r="B175" s="4" t="s">
        <v>255</v>
      </c>
      <c r="C175" s="30" t="s">
        <v>189</v>
      </c>
      <c r="D175" s="3" t="s">
        <v>29</v>
      </c>
      <c r="E175" s="5" t="s">
        <v>49</v>
      </c>
      <c r="F175" s="6">
        <v>14000</v>
      </c>
      <c r="G175" s="6">
        <v>2000</v>
      </c>
      <c r="H175" s="6">
        <v>12000</v>
      </c>
      <c r="I175" s="5"/>
      <c r="J175" s="5"/>
      <c r="K175" s="5" t="s">
        <v>898</v>
      </c>
    </row>
    <row r="176" spans="1:11" ht="15" thickBot="1" x14ac:dyDescent="0.35">
      <c r="A176" s="3" t="s">
        <v>256</v>
      </c>
      <c r="B176" s="4" t="s">
        <v>257</v>
      </c>
      <c r="C176" s="30" t="s">
        <v>189</v>
      </c>
      <c r="D176" s="3" t="s">
        <v>29</v>
      </c>
      <c r="E176" s="5" t="s">
        <v>8</v>
      </c>
      <c r="F176" s="6">
        <v>14000</v>
      </c>
      <c r="G176" s="6">
        <v>14000</v>
      </c>
      <c r="H176" s="7">
        <v>0</v>
      </c>
      <c r="I176" s="3" t="s">
        <v>88</v>
      </c>
      <c r="J176" s="3" t="s">
        <v>2</v>
      </c>
      <c r="K176" s="5" t="s">
        <v>898</v>
      </c>
    </row>
    <row r="177" spans="1:11" ht="15" thickBot="1" x14ac:dyDescent="0.35">
      <c r="A177" s="3" t="s">
        <v>256</v>
      </c>
      <c r="B177" s="4" t="s">
        <v>258</v>
      </c>
      <c r="C177" s="30" t="s">
        <v>189</v>
      </c>
      <c r="D177" s="3" t="s">
        <v>29</v>
      </c>
      <c r="E177" s="5" t="s">
        <v>10</v>
      </c>
      <c r="F177" s="6">
        <v>14000</v>
      </c>
      <c r="G177" s="6">
        <v>14000</v>
      </c>
      <c r="H177" s="7">
        <v>0</v>
      </c>
      <c r="I177" s="3" t="s">
        <v>88</v>
      </c>
      <c r="J177" s="3" t="s">
        <v>2</v>
      </c>
      <c r="K177" s="5" t="s">
        <v>898</v>
      </c>
    </row>
    <row r="178" spans="1:11" ht="15" thickBot="1" x14ac:dyDescent="0.35">
      <c r="A178" s="3" t="s">
        <v>256</v>
      </c>
      <c r="B178" s="4" t="s">
        <v>259</v>
      </c>
      <c r="C178" s="30" t="s">
        <v>189</v>
      </c>
      <c r="D178" s="3" t="s">
        <v>29</v>
      </c>
      <c r="E178" s="5" t="s">
        <v>49</v>
      </c>
      <c r="F178" s="6">
        <v>14000</v>
      </c>
      <c r="G178" s="6">
        <v>14000</v>
      </c>
      <c r="H178" s="7">
        <v>0</v>
      </c>
      <c r="I178" s="3" t="s">
        <v>88</v>
      </c>
      <c r="J178" s="3" t="s">
        <v>2</v>
      </c>
      <c r="K178" s="5" t="s">
        <v>898</v>
      </c>
    </row>
    <row r="179" spans="1:11" ht="15" thickBot="1" x14ac:dyDescent="0.35">
      <c r="A179" s="3" t="s">
        <v>260</v>
      </c>
      <c r="B179" s="4" t="s">
        <v>261</v>
      </c>
      <c r="C179" s="30" t="s">
        <v>189</v>
      </c>
      <c r="D179" s="3" t="s">
        <v>29</v>
      </c>
      <c r="E179" s="5" t="s">
        <v>49</v>
      </c>
      <c r="F179" s="6">
        <v>14000</v>
      </c>
      <c r="G179" s="6">
        <v>14000</v>
      </c>
      <c r="H179" s="7">
        <v>0</v>
      </c>
      <c r="I179" s="3" t="s">
        <v>88</v>
      </c>
      <c r="J179" s="3" t="s">
        <v>2</v>
      </c>
      <c r="K179" s="5" t="s">
        <v>898</v>
      </c>
    </row>
    <row r="180" spans="1:11" ht="15" thickBot="1" x14ac:dyDescent="0.35">
      <c r="A180" s="3" t="s">
        <v>260</v>
      </c>
      <c r="B180" s="4" t="s">
        <v>262</v>
      </c>
      <c r="C180" s="30" t="s">
        <v>189</v>
      </c>
      <c r="D180" s="3" t="s">
        <v>29</v>
      </c>
      <c r="E180" s="5" t="s">
        <v>8</v>
      </c>
      <c r="F180" s="6">
        <v>14000</v>
      </c>
      <c r="G180" s="6">
        <v>14000</v>
      </c>
      <c r="H180" s="7">
        <v>0</v>
      </c>
      <c r="I180" s="3" t="s">
        <v>88</v>
      </c>
      <c r="J180" s="3" t="s">
        <v>2</v>
      </c>
      <c r="K180" s="5" t="s">
        <v>898</v>
      </c>
    </row>
    <row r="181" spans="1:11" ht="15" thickBot="1" x14ac:dyDescent="0.35">
      <c r="A181" s="3" t="s">
        <v>260</v>
      </c>
      <c r="B181" s="4" t="s">
        <v>263</v>
      </c>
      <c r="C181" s="30" t="s">
        <v>189</v>
      </c>
      <c r="D181" s="43" t="s">
        <v>19</v>
      </c>
      <c r="E181" s="5" t="s">
        <v>49</v>
      </c>
      <c r="F181" s="6">
        <v>14000</v>
      </c>
      <c r="G181" s="6">
        <v>14000</v>
      </c>
      <c r="H181" s="7">
        <v>0</v>
      </c>
      <c r="I181" s="3" t="s">
        <v>264</v>
      </c>
      <c r="J181" s="3" t="s">
        <v>2</v>
      </c>
      <c r="K181" s="5" t="s">
        <v>898</v>
      </c>
    </row>
    <row r="182" spans="1:11" ht="15" thickBot="1" x14ac:dyDescent="0.35">
      <c r="A182" s="3" t="s">
        <v>260</v>
      </c>
      <c r="B182" s="31" t="s">
        <v>265</v>
      </c>
      <c r="C182" s="30" t="s">
        <v>189</v>
      </c>
      <c r="D182" s="3" t="s">
        <v>29</v>
      </c>
      <c r="E182" s="5" t="s">
        <v>49</v>
      </c>
      <c r="F182" s="6">
        <v>14000</v>
      </c>
      <c r="G182" s="6">
        <v>7000</v>
      </c>
      <c r="H182" s="6">
        <v>7000</v>
      </c>
      <c r="I182" s="3" t="s">
        <v>88</v>
      </c>
      <c r="J182" s="5"/>
      <c r="K182" s="5" t="s">
        <v>898</v>
      </c>
    </row>
    <row r="183" spans="1:11" ht="15" thickBot="1" x14ac:dyDescent="0.35">
      <c r="A183" s="3" t="s">
        <v>266</v>
      </c>
      <c r="B183" s="4" t="s">
        <v>267</v>
      </c>
      <c r="C183" s="30" t="s">
        <v>189</v>
      </c>
      <c r="D183" s="3" t="s">
        <v>29</v>
      </c>
      <c r="E183" s="5" t="s">
        <v>10</v>
      </c>
      <c r="F183" s="6">
        <v>14000</v>
      </c>
      <c r="G183" s="6">
        <v>14000</v>
      </c>
      <c r="H183" s="7">
        <v>0</v>
      </c>
      <c r="I183" s="5" t="s">
        <v>88</v>
      </c>
      <c r="J183" s="3" t="s">
        <v>2</v>
      </c>
      <c r="K183" s="5" t="s">
        <v>898</v>
      </c>
    </row>
    <row r="184" spans="1:11" ht="15" thickBot="1" x14ac:dyDescent="0.35">
      <c r="A184" s="3" t="s">
        <v>266</v>
      </c>
      <c r="B184" s="4" t="s">
        <v>268</v>
      </c>
      <c r="C184" s="30" t="s">
        <v>189</v>
      </c>
      <c r="D184" s="3" t="s">
        <v>29</v>
      </c>
      <c r="E184" s="5" t="s">
        <v>8</v>
      </c>
      <c r="F184" s="6">
        <v>14000</v>
      </c>
      <c r="G184" s="6">
        <v>7000</v>
      </c>
      <c r="H184" s="6">
        <v>7000</v>
      </c>
      <c r="I184" s="5" t="s">
        <v>88</v>
      </c>
      <c r="J184" s="5"/>
      <c r="K184" s="5" t="s">
        <v>898</v>
      </c>
    </row>
    <row r="185" spans="1:11" ht="15" thickBot="1" x14ac:dyDescent="0.35">
      <c r="A185" s="3" t="s">
        <v>266</v>
      </c>
      <c r="B185" s="4" t="s">
        <v>269</v>
      </c>
      <c r="C185" s="30" t="s">
        <v>189</v>
      </c>
      <c r="D185" s="3" t="s">
        <v>29</v>
      </c>
      <c r="E185" s="5" t="s">
        <v>10</v>
      </c>
      <c r="F185" s="6">
        <v>14000</v>
      </c>
      <c r="G185" s="6">
        <v>14000</v>
      </c>
      <c r="H185" s="7">
        <v>0</v>
      </c>
      <c r="I185" s="5" t="s">
        <v>88</v>
      </c>
      <c r="J185" s="3" t="s">
        <v>2</v>
      </c>
      <c r="K185" s="5" t="s">
        <v>898</v>
      </c>
    </row>
    <row r="186" spans="1:11" ht="15" thickBot="1" x14ac:dyDescent="0.35">
      <c r="A186" s="3" t="s">
        <v>270</v>
      </c>
      <c r="B186" s="4" t="s">
        <v>271</v>
      </c>
      <c r="C186" s="30" t="s">
        <v>189</v>
      </c>
      <c r="D186" s="3" t="s">
        <v>29</v>
      </c>
      <c r="E186" s="5" t="s">
        <v>8</v>
      </c>
      <c r="F186" s="6">
        <v>14000</v>
      </c>
      <c r="G186" s="6">
        <v>14000</v>
      </c>
      <c r="H186" s="7">
        <v>0</v>
      </c>
      <c r="I186" s="5" t="s">
        <v>88</v>
      </c>
      <c r="J186" s="3" t="s">
        <v>2</v>
      </c>
      <c r="K186" s="5" t="s">
        <v>898</v>
      </c>
    </row>
    <row r="187" spans="1:11" ht="15" thickBot="1" x14ac:dyDescent="0.35">
      <c r="A187" s="3" t="s">
        <v>270</v>
      </c>
      <c r="B187" s="4" t="s">
        <v>272</v>
      </c>
      <c r="C187" s="30" t="s">
        <v>189</v>
      </c>
      <c r="D187" s="3" t="s">
        <v>29</v>
      </c>
      <c r="E187" s="5" t="s">
        <v>49</v>
      </c>
      <c r="F187" s="6">
        <v>14000</v>
      </c>
      <c r="G187" s="6">
        <v>1000</v>
      </c>
      <c r="H187" s="6">
        <v>13000</v>
      </c>
      <c r="I187" s="5"/>
      <c r="J187" s="5"/>
      <c r="K187" s="5" t="s">
        <v>898</v>
      </c>
    </row>
    <row r="188" spans="1:11" ht="15" thickBot="1" x14ac:dyDescent="0.35">
      <c r="A188" s="3" t="s">
        <v>270</v>
      </c>
      <c r="B188" s="4" t="s">
        <v>273</v>
      </c>
      <c r="C188" s="30" t="s">
        <v>189</v>
      </c>
      <c r="D188" s="3" t="s">
        <v>29</v>
      </c>
      <c r="E188" s="5" t="s">
        <v>49</v>
      </c>
      <c r="F188" s="6">
        <v>14000</v>
      </c>
      <c r="G188" s="6">
        <v>14000</v>
      </c>
      <c r="H188" s="7">
        <v>0</v>
      </c>
      <c r="I188" s="5" t="s">
        <v>88</v>
      </c>
      <c r="J188" s="44" t="s">
        <v>2</v>
      </c>
      <c r="K188" s="5" t="s">
        <v>899</v>
      </c>
    </row>
    <row r="189" spans="1:11" ht="15" thickBot="1" x14ac:dyDescent="0.35">
      <c r="A189" s="3" t="s">
        <v>274</v>
      </c>
      <c r="B189" s="4" t="s">
        <v>275</v>
      </c>
      <c r="C189" s="30" t="s">
        <v>189</v>
      </c>
      <c r="D189" s="3" t="s">
        <v>29</v>
      </c>
      <c r="E189" s="5" t="s">
        <v>8</v>
      </c>
      <c r="F189" s="6">
        <v>14000</v>
      </c>
      <c r="G189" s="6">
        <v>14000</v>
      </c>
      <c r="H189" s="7">
        <v>0</v>
      </c>
      <c r="I189" s="5" t="s">
        <v>88</v>
      </c>
      <c r="J189" s="3" t="s">
        <v>2</v>
      </c>
      <c r="K189" s="5" t="s">
        <v>898</v>
      </c>
    </row>
    <row r="190" spans="1:11" ht="15" thickBot="1" x14ac:dyDescent="0.35">
      <c r="A190" s="3" t="s">
        <v>276</v>
      </c>
      <c r="B190" s="4" t="s">
        <v>277</v>
      </c>
      <c r="C190" s="30" t="s">
        <v>189</v>
      </c>
      <c r="D190" s="3" t="s">
        <v>29</v>
      </c>
      <c r="E190" s="5" t="s">
        <v>8</v>
      </c>
      <c r="F190" s="6">
        <v>14000</v>
      </c>
      <c r="G190" s="6">
        <v>3000</v>
      </c>
      <c r="H190" s="6">
        <v>11000</v>
      </c>
      <c r="I190" s="5"/>
      <c r="J190" s="5"/>
      <c r="K190" s="5" t="s">
        <v>898</v>
      </c>
    </row>
    <row r="191" spans="1:11" ht="15" thickBot="1" x14ac:dyDescent="0.35">
      <c r="A191" s="3" t="s">
        <v>276</v>
      </c>
      <c r="B191" s="4" t="s">
        <v>278</v>
      </c>
      <c r="C191" s="30" t="s">
        <v>189</v>
      </c>
      <c r="D191" s="3" t="s">
        <v>29</v>
      </c>
      <c r="E191" s="5" t="s">
        <v>10</v>
      </c>
      <c r="F191" s="6">
        <v>14000</v>
      </c>
      <c r="G191" s="6">
        <v>14000</v>
      </c>
      <c r="H191" s="7">
        <v>0</v>
      </c>
      <c r="I191" s="5" t="s">
        <v>88</v>
      </c>
      <c r="J191" s="3" t="s">
        <v>2</v>
      </c>
      <c r="K191" s="5" t="s">
        <v>898</v>
      </c>
    </row>
    <row r="192" spans="1:11" ht="15" thickBot="1" x14ac:dyDescent="0.35">
      <c r="A192" s="3" t="s">
        <v>279</v>
      </c>
      <c r="B192" s="4" t="s">
        <v>280</v>
      </c>
      <c r="C192" s="30" t="s">
        <v>189</v>
      </c>
      <c r="D192" s="43" t="s">
        <v>19</v>
      </c>
      <c r="E192" s="5" t="s">
        <v>49</v>
      </c>
      <c r="F192" s="6">
        <v>14000</v>
      </c>
      <c r="G192" s="6">
        <v>1000</v>
      </c>
      <c r="H192" s="6">
        <v>13000</v>
      </c>
      <c r="I192" s="5"/>
      <c r="J192" s="5"/>
      <c r="K192" s="5" t="s">
        <v>898</v>
      </c>
    </row>
    <row r="193" spans="1:11" ht="15" thickBot="1" x14ac:dyDescent="0.35">
      <c r="A193" s="3" t="s">
        <v>281</v>
      </c>
      <c r="B193" s="4" t="s">
        <v>282</v>
      </c>
      <c r="C193" s="30" t="s">
        <v>189</v>
      </c>
      <c r="D193" s="3" t="s">
        <v>29</v>
      </c>
      <c r="E193" s="5" t="s">
        <v>10</v>
      </c>
      <c r="F193" s="6">
        <v>14000</v>
      </c>
      <c r="G193" s="6">
        <v>14000</v>
      </c>
      <c r="H193" s="7">
        <v>0</v>
      </c>
      <c r="I193" s="5" t="s">
        <v>88</v>
      </c>
      <c r="J193" s="3" t="s">
        <v>2</v>
      </c>
      <c r="K193" s="5" t="s">
        <v>898</v>
      </c>
    </row>
    <row r="194" spans="1:11" ht="15" thickBot="1" x14ac:dyDescent="0.35">
      <c r="A194" s="3" t="s">
        <v>281</v>
      </c>
      <c r="B194" s="4" t="s">
        <v>283</v>
      </c>
      <c r="C194" s="30" t="s">
        <v>189</v>
      </c>
      <c r="D194" s="3" t="s">
        <v>29</v>
      </c>
      <c r="E194" s="5" t="s">
        <v>8</v>
      </c>
      <c r="F194" s="6">
        <v>14000</v>
      </c>
      <c r="G194" s="6">
        <v>14000</v>
      </c>
      <c r="H194" s="7">
        <v>0</v>
      </c>
      <c r="I194" s="5" t="s">
        <v>192</v>
      </c>
      <c r="J194" s="3" t="s">
        <v>2</v>
      </c>
      <c r="K194" s="5" t="s">
        <v>899</v>
      </c>
    </row>
    <row r="195" spans="1:11" ht="15" thickBot="1" x14ac:dyDescent="0.35">
      <c r="A195" s="37" t="s">
        <v>281</v>
      </c>
      <c r="B195" s="35" t="s">
        <v>284</v>
      </c>
      <c r="C195" s="36" t="s">
        <v>189</v>
      </c>
      <c r="D195" s="45" t="s">
        <v>19</v>
      </c>
      <c r="E195" s="38" t="s">
        <v>49</v>
      </c>
      <c r="F195" s="39">
        <v>14000</v>
      </c>
      <c r="G195" s="39">
        <v>1500</v>
      </c>
      <c r="H195" s="39">
        <v>12500</v>
      </c>
      <c r="I195" s="38"/>
      <c r="J195" s="38"/>
      <c r="K195" s="5" t="s">
        <v>899</v>
      </c>
    </row>
    <row r="196" spans="1:11" ht="15" thickBot="1" x14ac:dyDescent="0.35">
      <c r="A196" s="9">
        <v>45661</v>
      </c>
      <c r="B196" s="4" t="s">
        <v>285</v>
      </c>
      <c r="C196" s="46" t="s">
        <v>286</v>
      </c>
      <c r="D196" s="47" t="s">
        <v>287</v>
      </c>
      <c r="E196" s="5" t="s">
        <v>8</v>
      </c>
      <c r="F196" s="6">
        <v>20000</v>
      </c>
      <c r="G196" s="48">
        <v>20000</v>
      </c>
      <c r="H196" s="7">
        <v>0</v>
      </c>
      <c r="I196" s="5" t="s">
        <v>251</v>
      </c>
      <c r="J196" s="3" t="s">
        <v>2</v>
      </c>
      <c r="K196" s="5" t="s">
        <v>898</v>
      </c>
    </row>
    <row r="197" spans="1:11" ht="15" thickBot="1" x14ac:dyDescent="0.35">
      <c r="A197" s="9">
        <v>45661</v>
      </c>
      <c r="B197" s="4" t="s">
        <v>288</v>
      </c>
      <c r="C197" s="46" t="s">
        <v>286</v>
      </c>
      <c r="D197" s="47" t="s">
        <v>287</v>
      </c>
      <c r="E197" s="5" t="s">
        <v>8</v>
      </c>
      <c r="F197" s="6">
        <v>20000</v>
      </c>
      <c r="G197" s="48">
        <v>20000</v>
      </c>
      <c r="H197" s="7">
        <v>0</v>
      </c>
      <c r="I197" s="5" t="s">
        <v>251</v>
      </c>
      <c r="J197" s="3" t="s">
        <v>2</v>
      </c>
      <c r="K197" s="5" t="s">
        <v>898</v>
      </c>
    </row>
    <row r="198" spans="1:11" ht="15" thickBot="1" x14ac:dyDescent="0.35">
      <c r="A198" s="9">
        <v>45692</v>
      </c>
      <c r="B198" s="4" t="s">
        <v>289</v>
      </c>
      <c r="C198" s="46" t="s">
        <v>286</v>
      </c>
      <c r="D198" s="47" t="s">
        <v>287</v>
      </c>
      <c r="E198" s="5" t="s">
        <v>8</v>
      </c>
      <c r="F198" s="6">
        <v>20000</v>
      </c>
      <c r="G198" s="6">
        <v>2000</v>
      </c>
      <c r="H198" s="6">
        <v>18000</v>
      </c>
      <c r="I198" s="5"/>
      <c r="J198" s="5"/>
      <c r="K198" s="5" t="s">
        <v>898</v>
      </c>
    </row>
    <row r="199" spans="1:11" ht="15" thickBot="1" x14ac:dyDescent="0.35">
      <c r="A199" s="9">
        <v>45692</v>
      </c>
      <c r="B199" s="4" t="s">
        <v>290</v>
      </c>
      <c r="C199" s="46" t="s">
        <v>286</v>
      </c>
      <c r="D199" s="47" t="s">
        <v>287</v>
      </c>
      <c r="E199" s="5" t="s">
        <v>49</v>
      </c>
      <c r="F199" s="6">
        <v>20000</v>
      </c>
      <c r="G199" s="6">
        <v>1000</v>
      </c>
      <c r="H199" s="6">
        <v>19000</v>
      </c>
      <c r="I199" s="5"/>
      <c r="J199" s="5"/>
      <c r="K199" s="5" t="s">
        <v>898</v>
      </c>
    </row>
    <row r="200" spans="1:11" ht="15" thickBot="1" x14ac:dyDescent="0.35">
      <c r="A200" s="9">
        <v>45692</v>
      </c>
      <c r="B200" s="4" t="s">
        <v>291</v>
      </c>
      <c r="C200" s="46" t="s">
        <v>286</v>
      </c>
      <c r="D200" s="47" t="s">
        <v>287</v>
      </c>
      <c r="E200" s="5" t="s">
        <v>49</v>
      </c>
      <c r="F200" s="6">
        <v>20000</v>
      </c>
      <c r="G200" s="48">
        <v>20000</v>
      </c>
      <c r="H200" s="7">
        <v>0</v>
      </c>
      <c r="I200" s="5" t="s">
        <v>251</v>
      </c>
      <c r="J200" s="3" t="s">
        <v>2</v>
      </c>
      <c r="K200" s="5" t="s">
        <v>898</v>
      </c>
    </row>
    <row r="201" spans="1:11" ht="15" thickBot="1" x14ac:dyDescent="0.35">
      <c r="A201" s="9">
        <v>45720</v>
      </c>
      <c r="B201" s="4" t="s">
        <v>292</v>
      </c>
      <c r="C201" s="46" t="s">
        <v>286</v>
      </c>
      <c r="D201" s="47" t="s">
        <v>287</v>
      </c>
      <c r="E201" s="5" t="s">
        <v>10</v>
      </c>
      <c r="F201" s="6">
        <v>20000</v>
      </c>
      <c r="G201" s="48">
        <v>20000</v>
      </c>
      <c r="H201" s="7">
        <v>0</v>
      </c>
      <c r="I201" s="5" t="s">
        <v>251</v>
      </c>
      <c r="J201" s="3" t="s">
        <v>2</v>
      </c>
      <c r="K201" s="5"/>
    </row>
    <row r="202" spans="1:11" ht="15" thickBot="1" x14ac:dyDescent="0.35">
      <c r="A202" s="9">
        <v>45720</v>
      </c>
      <c r="B202" s="4" t="s">
        <v>293</v>
      </c>
      <c r="C202" s="46" t="s">
        <v>286</v>
      </c>
      <c r="D202" s="47" t="s">
        <v>287</v>
      </c>
      <c r="E202" s="5" t="s">
        <v>49</v>
      </c>
      <c r="F202" s="6">
        <v>20000</v>
      </c>
      <c r="G202" s="48">
        <v>20000</v>
      </c>
      <c r="H202" s="7">
        <v>0</v>
      </c>
      <c r="I202" s="5" t="s">
        <v>251</v>
      </c>
      <c r="J202" s="3" t="s">
        <v>2</v>
      </c>
      <c r="K202" s="5"/>
    </row>
    <row r="203" spans="1:11" ht="15" thickBot="1" x14ac:dyDescent="0.35">
      <c r="A203" s="9">
        <v>45720</v>
      </c>
      <c r="B203" s="4" t="s">
        <v>294</v>
      </c>
      <c r="C203" s="46" t="s">
        <v>286</v>
      </c>
      <c r="D203" s="47" t="s">
        <v>287</v>
      </c>
      <c r="E203" s="5" t="s">
        <v>49</v>
      </c>
      <c r="F203" s="6">
        <v>20000</v>
      </c>
      <c r="G203" s="6">
        <v>1000</v>
      </c>
      <c r="H203" s="6">
        <v>19000</v>
      </c>
      <c r="I203" s="5"/>
      <c r="J203" s="5"/>
      <c r="K203" s="5"/>
    </row>
    <row r="204" spans="1:11" ht="15" thickBot="1" x14ac:dyDescent="0.35">
      <c r="A204" s="9">
        <v>45720</v>
      </c>
      <c r="B204" s="4" t="s">
        <v>295</v>
      </c>
      <c r="C204" s="46" t="s">
        <v>286</v>
      </c>
      <c r="D204" s="47" t="s">
        <v>287</v>
      </c>
      <c r="E204" s="5" t="s">
        <v>49</v>
      </c>
      <c r="F204" s="6">
        <v>20000</v>
      </c>
      <c r="G204" s="48">
        <v>20000</v>
      </c>
      <c r="H204" s="7">
        <v>0</v>
      </c>
      <c r="I204" s="5" t="s">
        <v>251</v>
      </c>
      <c r="J204" s="3" t="s">
        <v>2</v>
      </c>
      <c r="K204" s="5"/>
    </row>
    <row r="205" spans="1:11" ht="15" thickBot="1" x14ac:dyDescent="0.35">
      <c r="A205" s="9">
        <v>45720</v>
      </c>
      <c r="B205" s="4" t="s">
        <v>296</v>
      </c>
      <c r="C205" s="46" t="s">
        <v>286</v>
      </c>
      <c r="D205" s="47" t="s">
        <v>287</v>
      </c>
      <c r="E205" s="5" t="s">
        <v>49</v>
      </c>
      <c r="F205" s="6">
        <v>20000</v>
      </c>
      <c r="G205" s="48">
        <v>20000</v>
      </c>
      <c r="H205" s="7">
        <v>0</v>
      </c>
      <c r="I205" s="5" t="s">
        <v>251</v>
      </c>
      <c r="J205" s="3" t="s">
        <v>2</v>
      </c>
      <c r="K205" s="5"/>
    </row>
    <row r="206" spans="1:11" ht="15" thickBot="1" x14ac:dyDescent="0.35">
      <c r="A206" s="9">
        <v>45720</v>
      </c>
      <c r="B206" s="4" t="s">
        <v>297</v>
      </c>
      <c r="C206" s="46" t="s">
        <v>286</v>
      </c>
      <c r="D206" s="47" t="s">
        <v>287</v>
      </c>
      <c r="E206" s="5" t="s">
        <v>49</v>
      </c>
      <c r="F206" s="6">
        <v>20000</v>
      </c>
      <c r="G206" s="48">
        <v>20000</v>
      </c>
      <c r="H206" s="7">
        <v>0</v>
      </c>
      <c r="I206" s="5" t="s">
        <v>251</v>
      </c>
      <c r="J206" s="3" t="s">
        <v>2</v>
      </c>
      <c r="K206" s="5"/>
    </row>
    <row r="207" spans="1:11" ht="15" thickBot="1" x14ac:dyDescent="0.35">
      <c r="A207" s="9">
        <v>45720</v>
      </c>
      <c r="B207" s="4" t="s">
        <v>298</v>
      </c>
      <c r="C207" s="46" t="s">
        <v>286</v>
      </c>
      <c r="D207" s="47" t="s">
        <v>287</v>
      </c>
      <c r="E207" s="5" t="s">
        <v>8</v>
      </c>
      <c r="F207" s="6">
        <v>20000</v>
      </c>
      <c r="G207" s="48">
        <v>20000</v>
      </c>
      <c r="H207" s="7">
        <v>0</v>
      </c>
      <c r="I207" s="5" t="s">
        <v>251</v>
      </c>
      <c r="J207" s="3" t="s">
        <v>2</v>
      </c>
      <c r="K207" s="5"/>
    </row>
    <row r="208" spans="1:11" ht="15" thickBot="1" x14ac:dyDescent="0.35">
      <c r="A208" s="9">
        <v>45751</v>
      </c>
      <c r="B208" s="4" t="s">
        <v>299</v>
      </c>
      <c r="C208" s="46" t="s">
        <v>286</v>
      </c>
      <c r="D208" s="47" t="s">
        <v>287</v>
      </c>
      <c r="E208" s="5" t="s">
        <v>10</v>
      </c>
      <c r="F208" s="6">
        <v>20000</v>
      </c>
      <c r="G208" s="48">
        <v>20000</v>
      </c>
      <c r="H208" s="7">
        <v>0</v>
      </c>
      <c r="I208" s="5" t="s">
        <v>251</v>
      </c>
      <c r="J208" s="3" t="s">
        <v>2</v>
      </c>
      <c r="K208" s="5"/>
    </row>
    <row r="209" spans="1:11" ht="15" thickBot="1" x14ac:dyDescent="0.35">
      <c r="A209" s="9">
        <v>45751</v>
      </c>
      <c r="B209" s="4" t="s">
        <v>300</v>
      </c>
      <c r="C209" s="46" t="s">
        <v>286</v>
      </c>
      <c r="D209" s="47" t="s">
        <v>287</v>
      </c>
      <c r="E209" s="5" t="s">
        <v>10</v>
      </c>
      <c r="F209" s="6">
        <v>20000</v>
      </c>
      <c r="G209" s="48">
        <v>20000</v>
      </c>
      <c r="H209" s="7">
        <v>0</v>
      </c>
      <c r="I209" s="5" t="s">
        <v>251</v>
      </c>
      <c r="J209" s="3" t="s">
        <v>2</v>
      </c>
      <c r="K209" s="5"/>
    </row>
    <row r="210" spans="1:11" ht="15" thickBot="1" x14ac:dyDescent="0.35">
      <c r="A210" s="9">
        <v>45781</v>
      </c>
      <c r="B210" s="4" t="s">
        <v>301</v>
      </c>
      <c r="C210" s="46" t="s">
        <v>286</v>
      </c>
      <c r="D210" s="47" t="s">
        <v>287</v>
      </c>
      <c r="E210" s="5" t="s">
        <v>10</v>
      </c>
      <c r="F210" s="6">
        <v>20000</v>
      </c>
      <c r="G210" s="48">
        <v>20000</v>
      </c>
      <c r="H210" s="7">
        <v>0</v>
      </c>
      <c r="I210" s="5" t="s">
        <v>251</v>
      </c>
      <c r="J210" s="3" t="s">
        <v>2</v>
      </c>
      <c r="K210" s="5"/>
    </row>
    <row r="211" spans="1:11" ht="15" thickBot="1" x14ac:dyDescent="0.35">
      <c r="A211" s="9">
        <v>45781</v>
      </c>
      <c r="B211" s="4" t="s">
        <v>302</v>
      </c>
      <c r="C211" s="46" t="s">
        <v>286</v>
      </c>
      <c r="D211" s="47" t="s">
        <v>287</v>
      </c>
      <c r="E211" s="5" t="s">
        <v>49</v>
      </c>
      <c r="F211" s="6">
        <v>20000</v>
      </c>
      <c r="G211" s="48">
        <v>20000</v>
      </c>
      <c r="H211" s="7">
        <v>0</v>
      </c>
      <c r="I211" s="5" t="s">
        <v>251</v>
      </c>
      <c r="J211" s="3" t="s">
        <v>2</v>
      </c>
      <c r="K211" s="5"/>
    </row>
    <row r="212" spans="1:11" ht="15" thickBot="1" x14ac:dyDescent="0.35">
      <c r="A212" s="9">
        <v>45812</v>
      </c>
      <c r="B212" s="4" t="s">
        <v>303</v>
      </c>
      <c r="C212" s="46" t="s">
        <v>286</v>
      </c>
      <c r="D212" s="47" t="s">
        <v>287</v>
      </c>
      <c r="E212" s="5" t="s">
        <v>8</v>
      </c>
      <c r="F212" s="6">
        <v>20000</v>
      </c>
      <c r="G212" s="48">
        <v>20000</v>
      </c>
      <c r="H212" s="7">
        <v>0</v>
      </c>
      <c r="I212" s="5" t="s">
        <v>251</v>
      </c>
      <c r="J212" s="3" t="s">
        <v>2</v>
      </c>
      <c r="K212" s="5"/>
    </row>
    <row r="213" spans="1:11" ht="15" thickBot="1" x14ac:dyDescent="0.35">
      <c r="A213" s="9">
        <v>45812</v>
      </c>
      <c r="B213" s="4" t="s">
        <v>304</v>
      </c>
      <c r="C213" s="46" t="s">
        <v>286</v>
      </c>
      <c r="D213" s="47" t="s">
        <v>287</v>
      </c>
      <c r="E213" s="5" t="s">
        <v>8</v>
      </c>
      <c r="F213" s="6">
        <v>20000</v>
      </c>
      <c r="G213" s="48">
        <v>20000</v>
      </c>
      <c r="H213" s="7">
        <v>0</v>
      </c>
      <c r="I213" s="5" t="s">
        <v>251</v>
      </c>
      <c r="J213" s="3" t="s">
        <v>2</v>
      </c>
      <c r="K213" s="5"/>
    </row>
    <row r="214" spans="1:11" ht="15" thickBot="1" x14ac:dyDescent="0.35">
      <c r="A214" s="9">
        <v>45812</v>
      </c>
      <c r="B214" s="31" t="s">
        <v>305</v>
      </c>
      <c r="C214" s="46" t="s">
        <v>286</v>
      </c>
      <c r="D214" s="49" t="s">
        <v>306</v>
      </c>
      <c r="E214" s="5" t="s">
        <v>49</v>
      </c>
      <c r="F214" s="6">
        <v>20000</v>
      </c>
      <c r="G214" s="48">
        <v>10000</v>
      </c>
      <c r="H214" s="6">
        <v>10000</v>
      </c>
      <c r="I214" s="5" t="s">
        <v>307</v>
      </c>
      <c r="J214" s="5"/>
      <c r="K214" s="5" t="s">
        <v>308</v>
      </c>
    </row>
    <row r="215" spans="1:11" ht="15" thickBot="1" x14ac:dyDescent="0.35">
      <c r="A215" s="9">
        <v>45904</v>
      </c>
      <c r="B215" s="4" t="s">
        <v>309</v>
      </c>
      <c r="C215" s="46" t="s">
        <v>286</v>
      </c>
      <c r="D215" s="47" t="s">
        <v>287</v>
      </c>
      <c r="E215" s="5" t="s">
        <v>49</v>
      </c>
      <c r="F215" s="6">
        <v>20000</v>
      </c>
      <c r="G215" s="48">
        <v>20000</v>
      </c>
      <c r="H215" s="7">
        <v>0</v>
      </c>
      <c r="I215" s="5" t="s">
        <v>251</v>
      </c>
      <c r="J215" s="3" t="s">
        <v>2</v>
      </c>
      <c r="K215" s="5"/>
    </row>
    <row r="216" spans="1:11" ht="15" thickBot="1" x14ac:dyDescent="0.35">
      <c r="A216" s="9">
        <v>45904</v>
      </c>
      <c r="B216" s="4" t="s">
        <v>310</v>
      </c>
      <c r="C216" s="46" t="s">
        <v>286</v>
      </c>
      <c r="D216" s="47" t="s">
        <v>287</v>
      </c>
      <c r="E216" s="5" t="s">
        <v>49</v>
      </c>
      <c r="F216" s="6">
        <v>20000</v>
      </c>
      <c r="G216" s="48">
        <v>10000</v>
      </c>
      <c r="H216" s="6">
        <v>10000</v>
      </c>
      <c r="I216" s="5" t="s">
        <v>251</v>
      </c>
      <c r="J216" s="5"/>
      <c r="K216" s="5"/>
    </row>
    <row r="217" spans="1:11" ht="15" thickBot="1" x14ac:dyDescent="0.35">
      <c r="A217" s="9">
        <v>45934</v>
      </c>
      <c r="B217" s="4" t="s">
        <v>311</v>
      </c>
      <c r="C217" s="46" t="s">
        <v>286</v>
      </c>
      <c r="D217" s="47" t="s">
        <v>287</v>
      </c>
      <c r="E217" s="5" t="s">
        <v>8</v>
      </c>
      <c r="F217" s="6">
        <v>20000</v>
      </c>
      <c r="G217" s="48">
        <v>20000</v>
      </c>
      <c r="H217" s="7">
        <v>0</v>
      </c>
      <c r="I217" s="5" t="s">
        <v>192</v>
      </c>
      <c r="J217" s="3" t="s">
        <v>2</v>
      </c>
      <c r="K217" s="5"/>
    </row>
    <row r="218" spans="1:11" ht="15" thickBot="1" x14ac:dyDescent="0.35">
      <c r="A218" s="9">
        <v>45934</v>
      </c>
      <c r="B218" s="4" t="s">
        <v>312</v>
      </c>
      <c r="C218" s="46" t="s">
        <v>286</v>
      </c>
      <c r="D218" s="47" t="s">
        <v>287</v>
      </c>
      <c r="E218" s="5" t="s">
        <v>49</v>
      </c>
      <c r="F218" s="6">
        <v>20000</v>
      </c>
      <c r="G218" s="48">
        <v>20000</v>
      </c>
      <c r="H218" s="7">
        <v>0</v>
      </c>
      <c r="I218" s="5" t="s">
        <v>251</v>
      </c>
      <c r="J218" s="3" t="s">
        <v>2</v>
      </c>
      <c r="K218" s="5"/>
    </row>
    <row r="219" spans="1:11" ht="15" thickBot="1" x14ac:dyDescent="0.35">
      <c r="A219" s="9">
        <v>45934</v>
      </c>
      <c r="B219" s="4" t="s">
        <v>313</v>
      </c>
      <c r="C219" s="46" t="s">
        <v>286</v>
      </c>
      <c r="D219" s="47" t="s">
        <v>287</v>
      </c>
      <c r="E219" s="5" t="s">
        <v>49</v>
      </c>
      <c r="F219" s="6">
        <v>20000</v>
      </c>
      <c r="G219" s="6">
        <v>2000</v>
      </c>
      <c r="H219" s="6">
        <v>18000</v>
      </c>
      <c r="I219" s="5"/>
      <c r="J219" s="50"/>
      <c r="K219" s="5"/>
    </row>
    <row r="220" spans="1:11" ht="15" thickBot="1" x14ac:dyDescent="0.35">
      <c r="A220" s="9">
        <v>45934</v>
      </c>
      <c r="B220" s="4" t="s">
        <v>314</v>
      </c>
      <c r="C220" s="46" t="s">
        <v>286</v>
      </c>
      <c r="D220" s="47" t="s">
        <v>287</v>
      </c>
      <c r="E220" s="5" t="s">
        <v>8</v>
      </c>
      <c r="F220" s="6">
        <v>20000</v>
      </c>
      <c r="G220" s="48">
        <v>20000</v>
      </c>
      <c r="H220" s="7">
        <v>0</v>
      </c>
      <c r="I220" s="5" t="s">
        <v>251</v>
      </c>
      <c r="J220" s="3" t="s">
        <v>2</v>
      </c>
      <c r="K220" s="5"/>
    </row>
    <row r="221" spans="1:11" ht="15" thickBot="1" x14ac:dyDescent="0.35">
      <c r="A221" s="9">
        <v>45934</v>
      </c>
      <c r="B221" s="4" t="s">
        <v>315</v>
      </c>
      <c r="C221" s="46" t="s">
        <v>286</v>
      </c>
      <c r="D221" s="47" t="s">
        <v>287</v>
      </c>
      <c r="E221" s="5" t="s">
        <v>10</v>
      </c>
      <c r="F221" s="6">
        <v>20000</v>
      </c>
      <c r="G221" s="6">
        <v>10000</v>
      </c>
      <c r="H221" s="6">
        <v>10000</v>
      </c>
      <c r="I221" s="5" t="s">
        <v>192</v>
      </c>
      <c r="J221" s="5"/>
      <c r="K221" s="5" t="s">
        <v>316</v>
      </c>
    </row>
    <row r="222" spans="1:11" ht="15" thickBot="1" x14ac:dyDescent="0.35">
      <c r="A222" s="9">
        <v>45965</v>
      </c>
      <c r="B222" s="4" t="s">
        <v>317</v>
      </c>
      <c r="C222" s="46" t="s">
        <v>286</v>
      </c>
      <c r="D222" s="47" t="s">
        <v>287</v>
      </c>
      <c r="E222" s="5" t="s">
        <v>10</v>
      </c>
      <c r="F222" s="6">
        <v>20000</v>
      </c>
      <c r="G222" s="48">
        <v>20000</v>
      </c>
      <c r="H222" s="7">
        <v>0</v>
      </c>
      <c r="I222" s="5" t="s">
        <v>251</v>
      </c>
      <c r="J222" s="3" t="s">
        <v>2</v>
      </c>
      <c r="K222" s="5"/>
    </row>
    <row r="223" spans="1:11" ht="15" thickBot="1" x14ac:dyDescent="0.35">
      <c r="A223" s="9">
        <v>45995</v>
      </c>
      <c r="B223" s="4" t="s">
        <v>318</v>
      </c>
      <c r="C223" s="46" t="s">
        <v>286</v>
      </c>
      <c r="D223" s="47" t="s">
        <v>287</v>
      </c>
      <c r="E223" s="5" t="s">
        <v>10</v>
      </c>
      <c r="F223" s="6">
        <v>20000</v>
      </c>
      <c r="G223" s="48">
        <v>20000</v>
      </c>
      <c r="H223" s="7">
        <v>0</v>
      </c>
      <c r="I223" s="5" t="s">
        <v>251</v>
      </c>
      <c r="J223" s="3" t="s">
        <v>2</v>
      </c>
      <c r="K223" s="5"/>
    </row>
    <row r="224" spans="1:11" ht="15" thickBot="1" x14ac:dyDescent="0.35">
      <c r="A224" s="9">
        <v>45995</v>
      </c>
      <c r="B224" s="4" t="s">
        <v>319</v>
      </c>
      <c r="C224" s="46" t="s">
        <v>286</v>
      </c>
      <c r="D224" s="3" t="s">
        <v>29</v>
      </c>
      <c r="E224" s="5" t="s">
        <v>8</v>
      </c>
      <c r="F224" s="6">
        <v>14000</v>
      </c>
      <c r="G224" s="48">
        <v>7000</v>
      </c>
      <c r="H224" s="6">
        <v>7000</v>
      </c>
      <c r="I224" s="5" t="s">
        <v>229</v>
      </c>
      <c r="J224" s="5"/>
      <c r="K224" s="5"/>
    </row>
    <row r="225" spans="1:11" ht="15" thickBot="1" x14ac:dyDescent="0.35">
      <c r="A225" s="9">
        <v>45995</v>
      </c>
      <c r="B225" s="4" t="s">
        <v>320</v>
      </c>
      <c r="C225" s="46" t="s">
        <v>286</v>
      </c>
      <c r="D225" s="47" t="s">
        <v>287</v>
      </c>
      <c r="E225" s="5" t="s">
        <v>10</v>
      </c>
      <c r="F225" s="6">
        <v>20000</v>
      </c>
      <c r="G225" s="6">
        <v>2000</v>
      </c>
      <c r="H225" s="6">
        <v>18000</v>
      </c>
      <c r="I225" s="5"/>
      <c r="J225" s="5"/>
      <c r="K225" s="5"/>
    </row>
    <row r="226" spans="1:11" ht="15" thickBot="1" x14ac:dyDescent="0.35">
      <c r="A226" s="9">
        <v>45995</v>
      </c>
      <c r="B226" s="4" t="s">
        <v>321</v>
      </c>
      <c r="C226" s="46" t="s">
        <v>286</v>
      </c>
      <c r="D226" s="47" t="s">
        <v>287</v>
      </c>
      <c r="E226" s="5" t="s">
        <v>10</v>
      </c>
      <c r="F226" s="6">
        <v>20000</v>
      </c>
      <c r="G226" s="48">
        <v>20000</v>
      </c>
      <c r="H226" s="7">
        <v>0</v>
      </c>
      <c r="I226" s="5" t="s">
        <v>251</v>
      </c>
      <c r="J226" s="3" t="s">
        <v>2</v>
      </c>
      <c r="K226" s="5"/>
    </row>
    <row r="227" spans="1:11" ht="15" thickBot="1" x14ac:dyDescent="0.35">
      <c r="A227" s="3" t="s">
        <v>322</v>
      </c>
      <c r="B227" s="4" t="s">
        <v>323</v>
      </c>
      <c r="C227" s="46" t="s">
        <v>286</v>
      </c>
      <c r="D227" s="47" t="s">
        <v>287</v>
      </c>
      <c r="E227" s="5" t="s">
        <v>49</v>
      </c>
      <c r="F227" s="6">
        <v>20000</v>
      </c>
      <c r="G227" s="6">
        <v>20000</v>
      </c>
      <c r="H227" s="7">
        <v>0</v>
      </c>
      <c r="I227" s="5" t="s">
        <v>324</v>
      </c>
      <c r="J227" s="5"/>
      <c r="K227" s="5" t="s">
        <v>326</v>
      </c>
    </row>
    <row r="228" spans="1:11" ht="15" thickBot="1" x14ac:dyDescent="0.35">
      <c r="A228" s="3" t="s">
        <v>322</v>
      </c>
      <c r="B228" s="4" t="s">
        <v>327</v>
      </c>
      <c r="C228" s="46" t="s">
        <v>286</v>
      </c>
      <c r="D228" s="47" t="s">
        <v>287</v>
      </c>
      <c r="E228" s="5" t="s">
        <v>8</v>
      </c>
      <c r="F228" s="6">
        <v>20000</v>
      </c>
      <c r="G228" s="48">
        <v>20000</v>
      </c>
      <c r="H228" s="7">
        <v>0</v>
      </c>
      <c r="I228" s="5" t="s">
        <v>251</v>
      </c>
      <c r="J228" s="3" t="s">
        <v>2</v>
      </c>
      <c r="K228" s="5"/>
    </row>
    <row r="229" spans="1:11" ht="15" thickBot="1" x14ac:dyDescent="0.35">
      <c r="A229" s="3" t="s">
        <v>322</v>
      </c>
      <c r="B229" s="4" t="s">
        <v>328</v>
      </c>
      <c r="C229" s="46" t="s">
        <v>286</v>
      </c>
      <c r="D229" s="47" t="s">
        <v>287</v>
      </c>
      <c r="E229" s="5" t="s">
        <v>8</v>
      </c>
      <c r="F229" s="6">
        <v>20000</v>
      </c>
      <c r="G229" s="6">
        <v>20000</v>
      </c>
      <c r="H229" s="7">
        <v>0</v>
      </c>
      <c r="I229" s="5" t="s">
        <v>192</v>
      </c>
      <c r="J229" s="3" t="s">
        <v>2</v>
      </c>
      <c r="K229" s="5"/>
    </row>
    <row r="230" spans="1:11" ht="15" thickBot="1" x14ac:dyDescent="0.35">
      <c r="A230" s="3" t="s">
        <v>322</v>
      </c>
      <c r="B230" s="4" t="s">
        <v>329</v>
      </c>
      <c r="C230" s="46" t="s">
        <v>286</v>
      </c>
      <c r="D230" s="47" t="s">
        <v>287</v>
      </c>
      <c r="E230" s="5" t="s">
        <v>10</v>
      </c>
      <c r="F230" s="6">
        <v>20000</v>
      </c>
      <c r="G230" s="6">
        <v>20000</v>
      </c>
      <c r="H230" s="7">
        <v>0</v>
      </c>
      <c r="I230" s="5" t="s">
        <v>192</v>
      </c>
      <c r="J230" s="3" t="s">
        <v>2</v>
      </c>
      <c r="K230" s="5"/>
    </row>
    <row r="231" spans="1:11" ht="15" thickBot="1" x14ac:dyDescent="0.35">
      <c r="A231" s="3" t="s">
        <v>322</v>
      </c>
      <c r="B231" s="4" t="s">
        <v>330</v>
      </c>
      <c r="C231" s="46" t="s">
        <v>286</v>
      </c>
      <c r="D231" s="47" t="s">
        <v>287</v>
      </c>
      <c r="E231" s="5" t="s">
        <v>8</v>
      </c>
      <c r="F231" s="6">
        <v>20000</v>
      </c>
      <c r="G231" s="48">
        <v>20000</v>
      </c>
      <c r="H231" s="7">
        <v>0</v>
      </c>
      <c r="I231" s="5" t="s">
        <v>192</v>
      </c>
      <c r="J231" s="3" t="s">
        <v>2</v>
      </c>
      <c r="K231" s="5" t="s">
        <v>331</v>
      </c>
    </row>
    <row r="232" spans="1:11" ht="15" thickBot="1" x14ac:dyDescent="0.35">
      <c r="A232" s="3" t="s">
        <v>332</v>
      </c>
      <c r="B232" s="4" t="s">
        <v>333</v>
      </c>
      <c r="C232" s="46" t="s">
        <v>286</v>
      </c>
      <c r="D232" s="47" t="s">
        <v>287</v>
      </c>
      <c r="E232" s="5" t="s">
        <v>49</v>
      </c>
      <c r="F232" s="6">
        <v>20000</v>
      </c>
      <c r="G232" s="6">
        <v>20000</v>
      </c>
      <c r="H232" s="7">
        <v>0</v>
      </c>
      <c r="I232" s="5" t="s">
        <v>192</v>
      </c>
      <c r="J232" s="3" t="s">
        <v>2</v>
      </c>
      <c r="K232" s="5"/>
    </row>
    <row r="233" spans="1:11" ht="15" thickBot="1" x14ac:dyDescent="0.35">
      <c r="A233" s="3" t="s">
        <v>332</v>
      </c>
      <c r="B233" s="4" t="s">
        <v>334</v>
      </c>
      <c r="C233" s="46" t="s">
        <v>286</v>
      </c>
      <c r="D233" s="47" t="s">
        <v>287</v>
      </c>
      <c r="E233" s="5" t="s">
        <v>49</v>
      </c>
      <c r="F233" s="6">
        <v>20000</v>
      </c>
      <c r="G233" s="6">
        <v>5000</v>
      </c>
      <c r="H233" s="6">
        <v>15000</v>
      </c>
      <c r="I233" s="5"/>
      <c r="J233" s="5"/>
      <c r="K233" s="5"/>
    </row>
    <row r="234" spans="1:11" ht="15" thickBot="1" x14ac:dyDescent="0.35">
      <c r="A234" s="3" t="s">
        <v>332</v>
      </c>
      <c r="B234" s="4" t="s">
        <v>335</v>
      </c>
      <c r="C234" s="46" t="s">
        <v>286</v>
      </c>
      <c r="D234" s="47" t="s">
        <v>287</v>
      </c>
      <c r="E234" s="5" t="s">
        <v>10</v>
      </c>
      <c r="F234" s="6">
        <v>20000</v>
      </c>
      <c r="G234" s="48">
        <v>20000</v>
      </c>
      <c r="H234" s="7">
        <v>0</v>
      </c>
      <c r="I234" s="5" t="s">
        <v>251</v>
      </c>
      <c r="J234" s="3" t="s">
        <v>2</v>
      </c>
      <c r="K234" s="5"/>
    </row>
    <row r="235" spans="1:11" ht="15" thickBot="1" x14ac:dyDescent="0.35">
      <c r="A235" s="3" t="s">
        <v>336</v>
      </c>
      <c r="B235" s="51" t="s">
        <v>337</v>
      </c>
      <c r="C235" s="46" t="s">
        <v>286</v>
      </c>
      <c r="D235" s="47" t="s">
        <v>287</v>
      </c>
      <c r="E235" s="5" t="s">
        <v>49</v>
      </c>
      <c r="F235" s="6">
        <v>20000</v>
      </c>
      <c r="G235" s="6">
        <v>20000</v>
      </c>
      <c r="H235" s="7">
        <v>0</v>
      </c>
      <c r="I235" s="5" t="s">
        <v>160</v>
      </c>
      <c r="J235" s="5"/>
      <c r="K235" s="5" t="s">
        <v>338</v>
      </c>
    </row>
    <row r="236" spans="1:11" ht="15" thickBot="1" x14ac:dyDescent="0.35">
      <c r="A236" s="3" t="s">
        <v>339</v>
      </c>
      <c r="B236" s="4" t="s">
        <v>340</v>
      </c>
      <c r="C236" s="46" t="s">
        <v>286</v>
      </c>
      <c r="D236" s="47" t="s">
        <v>287</v>
      </c>
      <c r="E236" s="5" t="s">
        <v>8</v>
      </c>
      <c r="F236" s="6">
        <v>20000</v>
      </c>
      <c r="G236" s="6">
        <v>4000</v>
      </c>
      <c r="H236" s="6">
        <v>16000</v>
      </c>
      <c r="I236" s="5"/>
      <c r="J236" s="5"/>
      <c r="K236" s="5"/>
    </row>
    <row r="237" spans="1:11" ht="15" thickBot="1" x14ac:dyDescent="0.35">
      <c r="A237" s="3" t="s">
        <v>339</v>
      </c>
      <c r="B237" s="4" t="s">
        <v>341</v>
      </c>
      <c r="C237" s="46" t="s">
        <v>286</v>
      </c>
      <c r="D237" s="47" t="s">
        <v>287</v>
      </c>
      <c r="E237" s="5" t="s">
        <v>49</v>
      </c>
      <c r="F237" s="6">
        <v>20000</v>
      </c>
      <c r="G237" s="6">
        <v>20000</v>
      </c>
      <c r="H237" s="7">
        <v>0</v>
      </c>
      <c r="I237" s="5" t="s">
        <v>192</v>
      </c>
      <c r="J237" s="3" t="s">
        <v>2</v>
      </c>
      <c r="K237" s="5" t="s">
        <v>342</v>
      </c>
    </row>
    <row r="238" spans="1:11" ht="15" thickBot="1" x14ac:dyDescent="0.35">
      <c r="A238" s="3" t="s">
        <v>339</v>
      </c>
      <c r="B238" s="4" t="s">
        <v>343</v>
      </c>
      <c r="C238" s="46" t="s">
        <v>286</v>
      </c>
      <c r="D238" s="47" t="s">
        <v>287</v>
      </c>
      <c r="E238" s="5" t="s">
        <v>49</v>
      </c>
      <c r="F238" s="6">
        <v>20000</v>
      </c>
      <c r="G238" s="6">
        <v>10000</v>
      </c>
      <c r="H238" s="6">
        <v>10000</v>
      </c>
      <c r="I238" s="5" t="s">
        <v>199</v>
      </c>
      <c r="J238" s="5"/>
      <c r="K238" s="5" t="s">
        <v>344</v>
      </c>
    </row>
    <row r="239" spans="1:11" ht="15" thickBot="1" x14ac:dyDescent="0.35">
      <c r="A239" s="3" t="s">
        <v>339</v>
      </c>
      <c r="B239" s="4" t="s">
        <v>345</v>
      </c>
      <c r="C239" s="46" t="s">
        <v>286</v>
      </c>
      <c r="D239" s="47" t="s">
        <v>287</v>
      </c>
      <c r="E239" s="5" t="s">
        <v>49</v>
      </c>
      <c r="F239" s="6">
        <v>20000</v>
      </c>
      <c r="G239" s="6">
        <v>3000</v>
      </c>
      <c r="H239" s="6">
        <v>17000</v>
      </c>
      <c r="I239" s="5"/>
      <c r="J239" s="5"/>
      <c r="K239" s="5"/>
    </row>
    <row r="240" spans="1:11" ht="15" thickBot="1" x14ac:dyDescent="0.35">
      <c r="A240" s="3" t="s">
        <v>339</v>
      </c>
      <c r="B240" s="4" t="s">
        <v>346</v>
      </c>
      <c r="C240" s="46" t="s">
        <v>286</v>
      </c>
      <c r="D240" s="47" t="s">
        <v>287</v>
      </c>
      <c r="E240" s="5" t="s">
        <v>49</v>
      </c>
      <c r="F240" s="6">
        <v>20000</v>
      </c>
      <c r="G240" s="6">
        <v>20000</v>
      </c>
      <c r="H240" s="7">
        <v>0</v>
      </c>
      <c r="I240" s="5" t="s">
        <v>192</v>
      </c>
      <c r="J240" s="3" t="s">
        <v>2</v>
      </c>
      <c r="K240" s="5" t="s">
        <v>347</v>
      </c>
    </row>
    <row r="241" spans="1:11" ht="15" thickBot="1" x14ac:dyDescent="0.35">
      <c r="A241" s="3" t="s">
        <v>339</v>
      </c>
      <c r="B241" s="4" t="s">
        <v>250</v>
      </c>
      <c r="C241" s="46" t="s">
        <v>286</v>
      </c>
      <c r="D241" s="47" t="s">
        <v>287</v>
      </c>
      <c r="E241" s="5" t="s">
        <v>49</v>
      </c>
      <c r="F241" s="6">
        <v>20000</v>
      </c>
      <c r="G241" s="6">
        <v>20000</v>
      </c>
      <c r="H241" s="7">
        <v>0</v>
      </c>
      <c r="I241" s="5" t="s">
        <v>192</v>
      </c>
      <c r="J241" s="3" t="s">
        <v>2</v>
      </c>
      <c r="K241" s="5"/>
    </row>
    <row r="242" spans="1:11" ht="15" thickBot="1" x14ac:dyDescent="0.35">
      <c r="A242" s="3" t="s">
        <v>348</v>
      </c>
      <c r="B242" s="4" t="s">
        <v>349</v>
      </c>
      <c r="C242" s="46" t="s">
        <v>286</v>
      </c>
      <c r="D242" s="47" t="s">
        <v>287</v>
      </c>
      <c r="E242" s="5" t="s">
        <v>10</v>
      </c>
      <c r="F242" s="6">
        <v>20000</v>
      </c>
      <c r="G242" s="48">
        <v>20000</v>
      </c>
      <c r="H242" s="7">
        <v>0</v>
      </c>
      <c r="I242" s="5" t="s">
        <v>192</v>
      </c>
      <c r="J242" s="3" t="s">
        <v>2</v>
      </c>
      <c r="K242" s="5"/>
    </row>
    <row r="243" spans="1:11" ht="15" thickBot="1" x14ac:dyDescent="0.35">
      <c r="A243" s="3" t="s">
        <v>348</v>
      </c>
      <c r="B243" s="4" t="s">
        <v>350</v>
      </c>
      <c r="C243" s="46" t="s">
        <v>286</v>
      </c>
      <c r="D243" s="47" t="s">
        <v>287</v>
      </c>
      <c r="E243" s="5" t="s">
        <v>49</v>
      </c>
      <c r="F243" s="6">
        <v>20000</v>
      </c>
      <c r="G243" s="6">
        <v>1000</v>
      </c>
      <c r="H243" s="6">
        <v>19000</v>
      </c>
      <c r="I243" s="5"/>
      <c r="J243" s="5"/>
      <c r="K243" s="5"/>
    </row>
    <row r="244" spans="1:11" ht="15" thickBot="1" x14ac:dyDescent="0.35">
      <c r="A244" s="3" t="s">
        <v>351</v>
      </c>
      <c r="B244" s="4" t="s">
        <v>352</v>
      </c>
      <c r="C244" s="46" t="s">
        <v>286</v>
      </c>
      <c r="D244" s="47" t="s">
        <v>287</v>
      </c>
      <c r="E244" s="5" t="s">
        <v>10</v>
      </c>
      <c r="F244" s="6">
        <v>20000</v>
      </c>
      <c r="G244" s="48">
        <v>20000</v>
      </c>
      <c r="H244" s="7">
        <v>0</v>
      </c>
      <c r="I244" s="5" t="s">
        <v>192</v>
      </c>
      <c r="J244" s="3" t="s">
        <v>2</v>
      </c>
      <c r="K244" s="5"/>
    </row>
    <row r="245" spans="1:11" ht="15" thickBot="1" x14ac:dyDescent="0.35">
      <c r="A245" s="3" t="s">
        <v>353</v>
      </c>
      <c r="B245" s="4" t="s">
        <v>354</v>
      </c>
      <c r="C245" s="46" t="s">
        <v>286</v>
      </c>
      <c r="D245" s="47" t="s">
        <v>287</v>
      </c>
      <c r="E245" s="5" t="s">
        <v>10</v>
      </c>
      <c r="F245" s="6">
        <v>20000</v>
      </c>
      <c r="G245" s="6">
        <v>2000</v>
      </c>
      <c r="H245" s="6">
        <v>18000</v>
      </c>
      <c r="I245" s="5"/>
      <c r="J245" s="5"/>
      <c r="K245" s="5"/>
    </row>
    <row r="246" spans="1:11" ht="15" thickBot="1" x14ac:dyDescent="0.35">
      <c r="A246" s="3" t="s">
        <v>353</v>
      </c>
      <c r="B246" s="4" t="s">
        <v>355</v>
      </c>
      <c r="C246" s="46" t="s">
        <v>286</v>
      </c>
      <c r="D246" s="47" t="s">
        <v>287</v>
      </c>
      <c r="E246" s="5" t="s">
        <v>8</v>
      </c>
      <c r="F246" s="6">
        <v>20000</v>
      </c>
      <c r="G246" s="48">
        <v>10000</v>
      </c>
      <c r="H246" s="6">
        <v>10000</v>
      </c>
      <c r="I246" s="5" t="s">
        <v>192</v>
      </c>
      <c r="J246" s="5"/>
      <c r="K246" s="5" t="s">
        <v>308</v>
      </c>
    </row>
    <row r="247" spans="1:11" ht="15" thickBot="1" x14ac:dyDescent="0.35">
      <c r="A247" s="3" t="s">
        <v>356</v>
      </c>
      <c r="B247" s="4" t="s">
        <v>357</v>
      </c>
      <c r="C247" s="46" t="s">
        <v>286</v>
      </c>
      <c r="D247" s="47" t="s">
        <v>287</v>
      </c>
      <c r="E247" s="5" t="s">
        <v>10</v>
      </c>
      <c r="F247" s="6">
        <v>20000</v>
      </c>
      <c r="G247" s="48">
        <v>20000</v>
      </c>
      <c r="H247" s="7">
        <v>0</v>
      </c>
      <c r="I247" s="5" t="s">
        <v>192</v>
      </c>
      <c r="J247" s="3" t="s">
        <v>2</v>
      </c>
      <c r="K247" s="5"/>
    </row>
    <row r="248" spans="1:11" ht="15" thickBot="1" x14ac:dyDescent="0.35">
      <c r="A248" s="3" t="s">
        <v>356</v>
      </c>
      <c r="B248" s="4" t="s">
        <v>358</v>
      </c>
      <c r="C248" s="46" t="s">
        <v>286</v>
      </c>
      <c r="D248" s="47" t="s">
        <v>287</v>
      </c>
      <c r="E248" s="5" t="s">
        <v>10</v>
      </c>
      <c r="F248" s="6">
        <v>20000</v>
      </c>
      <c r="G248" s="6">
        <v>20000</v>
      </c>
      <c r="H248" s="7">
        <v>0</v>
      </c>
      <c r="I248" s="5" t="s">
        <v>192</v>
      </c>
      <c r="J248" s="3" t="s">
        <v>2</v>
      </c>
      <c r="K248" s="5"/>
    </row>
    <row r="249" spans="1:11" ht="15" thickBot="1" x14ac:dyDescent="0.35">
      <c r="A249" s="3" t="s">
        <v>359</v>
      </c>
      <c r="B249" s="4" t="s">
        <v>360</v>
      </c>
      <c r="C249" s="46" t="s">
        <v>286</v>
      </c>
      <c r="D249" s="47" t="s">
        <v>287</v>
      </c>
      <c r="E249" s="5" t="s">
        <v>8</v>
      </c>
      <c r="F249" s="6">
        <v>20000</v>
      </c>
      <c r="G249" s="6">
        <v>20000</v>
      </c>
      <c r="H249" s="7">
        <v>0</v>
      </c>
      <c r="I249" s="5" t="s">
        <v>192</v>
      </c>
      <c r="J249" s="3" t="s">
        <v>2</v>
      </c>
      <c r="K249" s="5"/>
    </row>
    <row r="250" spans="1:11" ht="15" thickBot="1" x14ac:dyDescent="0.35">
      <c r="A250" s="3" t="s">
        <v>359</v>
      </c>
      <c r="B250" s="4" t="s">
        <v>361</v>
      </c>
      <c r="C250" s="46" t="s">
        <v>286</v>
      </c>
      <c r="D250" s="47" t="s">
        <v>287</v>
      </c>
      <c r="E250" s="5" t="s">
        <v>10</v>
      </c>
      <c r="F250" s="6">
        <v>20000</v>
      </c>
      <c r="G250" s="6">
        <v>20000</v>
      </c>
      <c r="H250" s="7">
        <v>0</v>
      </c>
      <c r="I250" s="5" t="s">
        <v>192</v>
      </c>
      <c r="J250" s="3" t="s">
        <v>2</v>
      </c>
      <c r="K250" s="5"/>
    </row>
    <row r="251" spans="1:11" ht="15" thickBot="1" x14ac:dyDescent="0.35">
      <c r="A251" s="3" t="s">
        <v>362</v>
      </c>
      <c r="B251" s="4" t="s">
        <v>363</v>
      </c>
      <c r="C251" s="46" t="s">
        <v>286</v>
      </c>
      <c r="D251" s="47" t="s">
        <v>287</v>
      </c>
      <c r="E251" s="5" t="s">
        <v>8</v>
      </c>
      <c r="F251" s="6">
        <v>20000</v>
      </c>
      <c r="G251" s="48">
        <v>20000</v>
      </c>
      <c r="H251" s="7">
        <v>0</v>
      </c>
      <c r="I251" s="5" t="s">
        <v>192</v>
      </c>
      <c r="J251" s="3" t="s">
        <v>2</v>
      </c>
      <c r="K251" s="5"/>
    </row>
    <row r="252" spans="1:11" ht="15" thickBot="1" x14ac:dyDescent="0.35">
      <c r="A252" s="3" t="s">
        <v>362</v>
      </c>
      <c r="B252" s="4" t="s">
        <v>364</v>
      </c>
      <c r="C252" s="46" t="s">
        <v>286</v>
      </c>
      <c r="D252" s="47" t="s">
        <v>287</v>
      </c>
      <c r="E252" s="5" t="s">
        <v>49</v>
      </c>
      <c r="F252" s="6">
        <v>20000</v>
      </c>
      <c r="G252" s="48">
        <v>10000</v>
      </c>
      <c r="H252" s="6">
        <v>10000</v>
      </c>
      <c r="I252" s="5" t="s">
        <v>192</v>
      </c>
      <c r="J252" s="5"/>
      <c r="K252" s="5" t="s">
        <v>308</v>
      </c>
    </row>
    <row r="253" spans="1:11" ht="15" thickBot="1" x14ac:dyDescent="0.35">
      <c r="A253" s="3" t="s">
        <v>362</v>
      </c>
      <c r="B253" s="4" t="s">
        <v>365</v>
      </c>
      <c r="C253" s="46" t="s">
        <v>286</v>
      </c>
      <c r="D253" s="47" t="s">
        <v>287</v>
      </c>
      <c r="E253" s="5" t="s">
        <v>8</v>
      </c>
      <c r="F253" s="6">
        <v>20000</v>
      </c>
      <c r="G253" s="6">
        <v>6000</v>
      </c>
      <c r="H253" s="6">
        <v>14000</v>
      </c>
      <c r="I253" s="5"/>
      <c r="J253" s="5"/>
      <c r="K253" s="5"/>
    </row>
    <row r="254" spans="1:11" ht="15" thickBot="1" x14ac:dyDescent="0.35">
      <c r="A254" s="3" t="s">
        <v>366</v>
      </c>
      <c r="B254" s="4" t="s">
        <v>367</v>
      </c>
      <c r="C254" s="46" t="s">
        <v>286</v>
      </c>
      <c r="D254" s="47" t="s">
        <v>287</v>
      </c>
      <c r="E254" s="5" t="s">
        <v>49</v>
      </c>
      <c r="F254" s="6">
        <v>20000</v>
      </c>
      <c r="G254" s="6">
        <v>10000</v>
      </c>
      <c r="H254" s="6">
        <v>10000</v>
      </c>
      <c r="I254" s="5" t="s">
        <v>307</v>
      </c>
      <c r="J254" s="5"/>
      <c r="K254" s="5" t="s">
        <v>308</v>
      </c>
    </row>
    <row r="255" spans="1:11" ht="15" thickBot="1" x14ac:dyDescent="0.35">
      <c r="A255" s="3" t="s">
        <v>368</v>
      </c>
      <c r="B255" s="4" t="s">
        <v>369</v>
      </c>
      <c r="C255" s="46" t="s">
        <v>286</v>
      </c>
      <c r="D255" s="47" t="s">
        <v>287</v>
      </c>
      <c r="E255" s="5" t="s">
        <v>8</v>
      </c>
      <c r="F255" s="6">
        <v>20000</v>
      </c>
      <c r="G255" s="6">
        <v>20000</v>
      </c>
      <c r="H255" s="7">
        <v>0</v>
      </c>
      <c r="I255" s="5" t="s">
        <v>192</v>
      </c>
      <c r="J255" s="3" t="s">
        <v>2</v>
      </c>
      <c r="K255" s="5"/>
    </row>
    <row r="256" spans="1:11" ht="15" thickBot="1" x14ac:dyDescent="0.35">
      <c r="A256" s="3" t="s">
        <v>370</v>
      </c>
      <c r="B256" s="4" t="s">
        <v>371</v>
      </c>
      <c r="C256" s="46" t="s">
        <v>286</v>
      </c>
      <c r="D256" s="47" t="s">
        <v>287</v>
      </c>
      <c r="E256" s="5" t="s">
        <v>10</v>
      </c>
      <c r="F256" s="6">
        <v>20000</v>
      </c>
      <c r="G256" s="48">
        <v>15000</v>
      </c>
      <c r="H256" s="6">
        <v>5000</v>
      </c>
      <c r="I256" s="5" t="s">
        <v>192</v>
      </c>
      <c r="J256" s="5"/>
      <c r="K256" s="5" t="s">
        <v>342</v>
      </c>
    </row>
    <row r="257" spans="1:11" ht="15" thickBot="1" x14ac:dyDescent="0.35">
      <c r="A257" s="3" t="s">
        <v>372</v>
      </c>
      <c r="B257" s="5" t="s">
        <v>168</v>
      </c>
      <c r="C257" s="46" t="s">
        <v>286</v>
      </c>
      <c r="D257" s="47" t="s">
        <v>287</v>
      </c>
      <c r="E257" s="5" t="s">
        <v>49</v>
      </c>
      <c r="F257" s="6">
        <v>20000</v>
      </c>
      <c r="G257" s="6">
        <v>20000</v>
      </c>
      <c r="H257" s="7">
        <v>0</v>
      </c>
      <c r="I257" s="5" t="s">
        <v>192</v>
      </c>
      <c r="J257" s="3" t="s">
        <v>2</v>
      </c>
      <c r="K257" s="5" t="s">
        <v>342</v>
      </c>
    </row>
    <row r="258" spans="1:11" ht="15" thickBot="1" x14ac:dyDescent="0.35">
      <c r="A258" s="3" t="s">
        <v>372</v>
      </c>
      <c r="B258" s="4" t="s">
        <v>373</v>
      </c>
      <c r="C258" s="46" t="s">
        <v>286</v>
      </c>
      <c r="D258" s="49" t="s">
        <v>306</v>
      </c>
      <c r="E258" s="5" t="s">
        <v>49</v>
      </c>
      <c r="F258" s="6">
        <v>20000</v>
      </c>
      <c r="G258" s="6">
        <v>10000</v>
      </c>
      <c r="H258" s="6">
        <v>10000</v>
      </c>
      <c r="I258" s="5" t="s">
        <v>307</v>
      </c>
      <c r="J258" s="5"/>
      <c r="K258" s="5" t="s">
        <v>316</v>
      </c>
    </row>
    <row r="259" spans="1:11" ht="15" thickBot="1" x14ac:dyDescent="0.35">
      <c r="A259" s="3" t="s">
        <v>372</v>
      </c>
      <c r="B259" s="4" t="s">
        <v>374</v>
      </c>
      <c r="C259" s="46" t="s">
        <v>286</v>
      </c>
      <c r="D259" s="47" t="s">
        <v>287</v>
      </c>
      <c r="E259" s="5" t="s">
        <v>49</v>
      </c>
      <c r="F259" s="6">
        <v>20000</v>
      </c>
      <c r="G259" s="6">
        <v>10000</v>
      </c>
      <c r="H259" s="6">
        <v>10000</v>
      </c>
      <c r="I259" s="5" t="s">
        <v>192</v>
      </c>
      <c r="J259" s="5"/>
      <c r="K259" s="5" t="s">
        <v>308</v>
      </c>
    </row>
    <row r="260" spans="1:11" ht="15" thickBot="1" x14ac:dyDescent="0.35">
      <c r="A260" s="3" t="s">
        <v>375</v>
      </c>
      <c r="B260" s="4" t="s">
        <v>376</v>
      </c>
      <c r="C260" s="46" t="s">
        <v>286</v>
      </c>
      <c r="D260" s="47" t="s">
        <v>287</v>
      </c>
      <c r="E260" s="5" t="s">
        <v>49</v>
      </c>
      <c r="F260" s="6">
        <v>20000</v>
      </c>
      <c r="G260" s="6">
        <v>20000</v>
      </c>
      <c r="H260" s="7">
        <v>0</v>
      </c>
      <c r="I260" s="5" t="s">
        <v>192</v>
      </c>
      <c r="J260" s="3" t="s">
        <v>2</v>
      </c>
      <c r="K260" s="5" t="s">
        <v>342</v>
      </c>
    </row>
    <row r="261" spans="1:11" ht="15" thickBot="1" x14ac:dyDescent="0.35">
      <c r="A261" s="3" t="s">
        <v>375</v>
      </c>
      <c r="B261" s="4" t="s">
        <v>377</v>
      </c>
      <c r="C261" s="46" t="s">
        <v>286</v>
      </c>
      <c r="D261" s="47" t="s">
        <v>287</v>
      </c>
      <c r="E261" s="5" t="s">
        <v>49</v>
      </c>
      <c r="F261" s="6">
        <v>20000</v>
      </c>
      <c r="G261" s="6">
        <v>20000</v>
      </c>
      <c r="H261" s="7">
        <v>0</v>
      </c>
      <c r="I261" s="5" t="s">
        <v>192</v>
      </c>
      <c r="J261" s="3" t="s">
        <v>2</v>
      </c>
      <c r="K261" s="5"/>
    </row>
    <row r="262" spans="1:11" ht="15" thickBot="1" x14ac:dyDescent="0.35">
      <c r="A262" s="3" t="s">
        <v>378</v>
      </c>
      <c r="B262" s="4" t="s">
        <v>379</v>
      </c>
      <c r="C262" s="46" t="s">
        <v>286</v>
      </c>
      <c r="D262" s="47" t="s">
        <v>287</v>
      </c>
      <c r="E262" s="5" t="s">
        <v>8</v>
      </c>
      <c r="F262" s="6">
        <v>20000</v>
      </c>
      <c r="G262" s="6">
        <v>20000</v>
      </c>
      <c r="H262" s="7">
        <v>0</v>
      </c>
      <c r="I262" s="5" t="s">
        <v>192</v>
      </c>
      <c r="J262" s="3" t="s">
        <v>2</v>
      </c>
      <c r="K262" s="5"/>
    </row>
    <row r="263" spans="1:11" ht="15" thickBot="1" x14ac:dyDescent="0.35">
      <c r="A263" s="3" t="s">
        <v>378</v>
      </c>
      <c r="B263" s="4" t="s">
        <v>380</v>
      </c>
      <c r="C263" s="46" t="s">
        <v>286</v>
      </c>
      <c r="D263" s="47" t="s">
        <v>287</v>
      </c>
      <c r="E263" s="5" t="s">
        <v>49</v>
      </c>
      <c r="F263" s="6">
        <v>20000</v>
      </c>
      <c r="G263" s="6">
        <v>2000</v>
      </c>
      <c r="H263" s="6">
        <v>18000</v>
      </c>
      <c r="I263" s="5"/>
      <c r="J263" s="5"/>
      <c r="K263" s="5"/>
    </row>
    <row r="264" spans="1:11" ht="15" thickBot="1" x14ac:dyDescent="0.35">
      <c r="A264" s="3" t="s">
        <v>378</v>
      </c>
      <c r="B264" s="4" t="s">
        <v>381</v>
      </c>
      <c r="C264" s="46" t="s">
        <v>286</v>
      </c>
      <c r="D264" s="47" t="s">
        <v>287</v>
      </c>
      <c r="E264" s="5" t="s">
        <v>8</v>
      </c>
      <c r="F264" s="6">
        <v>20000</v>
      </c>
      <c r="G264" s="6">
        <v>20000</v>
      </c>
      <c r="H264" s="7">
        <v>0</v>
      </c>
      <c r="I264" s="5" t="s">
        <v>192</v>
      </c>
      <c r="J264" s="3" t="s">
        <v>2</v>
      </c>
      <c r="K264" s="5"/>
    </row>
    <row r="265" spans="1:11" ht="15" thickBot="1" x14ac:dyDescent="0.35">
      <c r="A265" s="3" t="s">
        <v>382</v>
      </c>
      <c r="B265" s="4" t="s">
        <v>383</v>
      </c>
      <c r="C265" s="46" t="s">
        <v>286</v>
      </c>
      <c r="D265" s="47" t="s">
        <v>287</v>
      </c>
      <c r="E265" s="5" t="s">
        <v>49</v>
      </c>
      <c r="F265" s="6">
        <v>20000</v>
      </c>
      <c r="G265" s="6">
        <v>20000</v>
      </c>
      <c r="H265" s="7">
        <v>0</v>
      </c>
      <c r="I265" s="5" t="s">
        <v>192</v>
      </c>
      <c r="J265" s="3" t="s">
        <v>2</v>
      </c>
      <c r="K265" s="5"/>
    </row>
    <row r="266" spans="1:11" ht="15" thickBot="1" x14ac:dyDescent="0.35">
      <c r="A266" s="3" t="s">
        <v>382</v>
      </c>
      <c r="B266" s="4" t="s">
        <v>384</v>
      </c>
      <c r="C266" s="46" t="s">
        <v>286</v>
      </c>
      <c r="D266" s="47" t="s">
        <v>287</v>
      </c>
      <c r="E266" s="5" t="s">
        <v>49</v>
      </c>
      <c r="F266" s="6">
        <v>20000</v>
      </c>
      <c r="G266" s="6">
        <v>20000</v>
      </c>
      <c r="H266" s="7">
        <v>0</v>
      </c>
      <c r="I266" s="5" t="s">
        <v>192</v>
      </c>
      <c r="J266" s="3" t="s">
        <v>2</v>
      </c>
      <c r="K266" s="5"/>
    </row>
    <row r="267" spans="1:11" ht="15" thickBot="1" x14ac:dyDescent="0.35">
      <c r="A267" s="9">
        <v>45662</v>
      </c>
      <c r="B267" s="4" t="s">
        <v>385</v>
      </c>
      <c r="C267" s="52" t="s">
        <v>386</v>
      </c>
      <c r="D267" s="47" t="s">
        <v>287</v>
      </c>
      <c r="E267" s="5" t="s">
        <v>49</v>
      </c>
      <c r="F267" s="6">
        <v>20000</v>
      </c>
      <c r="G267" s="48">
        <v>20000</v>
      </c>
      <c r="H267" s="7">
        <v>0</v>
      </c>
      <c r="I267" s="5" t="s">
        <v>307</v>
      </c>
      <c r="J267" s="3" t="s">
        <v>2</v>
      </c>
      <c r="K267" s="5"/>
    </row>
    <row r="268" spans="1:11" ht="15" thickBot="1" x14ac:dyDescent="0.35">
      <c r="A268" s="9">
        <v>45662</v>
      </c>
      <c r="B268" s="4" t="s">
        <v>387</v>
      </c>
      <c r="C268" s="52" t="s">
        <v>386</v>
      </c>
      <c r="D268" s="47" t="s">
        <v>287</v>
      </c>
      <c r="E268" s="5" t="s">
        <v>8</v>
      </c>
      <c r="F268" s="6">
        <v>20000</v>
      </c>
      <c r="G268" s="48">
        <v>10000</v>
      </c>
      <c r="H268" s="6">
        <v>10000</v>
      </c>
      <c r="I268" s="5" t="s">
        <v>192</v>
      </c>
      <c r="J268" s="5"/>
      <c r="K268" s="5" t="s">
        <v>308</v>
      </c>
    </row>
    <row r="269" spans="1:11" ht="15" thickBot="1" x14ac:dyDescent="0.35">
      <c r="A269" s="9">
        <v>45662</v>
      </c>
      <c r="B269" s="4" t="s">
        <v>388</v>
      </c>
      <c r="C269" s="52" t="s">
        <v>386</v>
      </c>
      <c r="D269" s="47" t="s">
        <v>287</v>
      </c>
      <c r="E269" s="5" t="s">
        <v>49</v>
      </c>
      <c r="F269" s="6">
        <v>20000</v>
      </c>
      <c r="G269" s="48">
        <v>10000</v>
      </c>
      <c r="H269" s="6">
        <v>10000</v>
      </c>
      <c r="I269" s="5" t="s">
        <v>192</v>
      </c>
      <c r="J269" s="5"/>
      <c r="K269" s="5" t="s">
        <v>308</v>
      </c>
    </row>
    <row r="270" spans="1:11" ht="15" thickBot="1" x14ac:dyDescent="0.35">
      <c r="A270" s="9">
        <v>45662</v>
      </c>
      <c r="B270" s="4" t="s">
        <v>389</v>
      </c>
      <c r="C270" s="52" t="s">
        <v>386</v>
      </c>
      <c r="D270" s="47" t="s">
        <v>287</v>
      </c>
      <c r="E270" s="5" t="s">
        <v>49</v>
      </c>
      <c r="F270" s="6">
        <v>20000</v>
      </c>
      <c r="G270" s="48">
        <v>20000</v>
      </c>
      <c r="H270" s="7">
        <v>0</v>
      </c>
      <c r="I270" s="5" t="s">
        <v>192</v>
      </c>
      <c r="J270" s="3" t="s">
        <v>2</v>
      </c>
      <c r="K270" s="5"/>
    </row>
    <row r="271" spans="1:11" ht="15" thickBot="1" x14ac:dyDescent="0.35">
      <c r="A271" s="9">
        <v>45662</v>
      </c>
      <c r="B271" s="4" t="s">
        <v>390</v>
      </c>
      <c r="C271" s="52" t="s">
        <v>386</v>
      </c>
      <c r="D271" s="47" t="s">
        <v>287</v>
      </c>
      <c r="E271" s="5" t="s">
        <v>8</v>
      </c>
      <c r="F271" s="6">
        <v>20000</v>
      </c>
      <c r="G271" s="48">
        <v>20000</v>
      </c>
      <c r="H271" s="7">
        <v>0</v>
      </c>
      <c r="I271" s="5" t="s">
        <v>192</v>
      </c>
      <c r="J271" s="3" t="s">
        <v>2</v>
      </c>
      <c r="K271" s="5"/>
    </row>
    <row r="272" spans="1:11" ht="15" thickBot="1" x14ac:dyDescent="0.35">
      <c r="A272" s="9">
        <v>45693</v>
      </c>
      <c r="B272" s="4" t="s">
        <v>391</v>
      </c>
      <c r="C272" s="52" t="s">
        <v>386</v>
      </c>
      <c r="D272" s="47" t="s">
        <v>287</v>
      </c>
      <c r="E272" s="5" t="s">
        <v>10</v>
      </c>
      <c r="F272" s="6">
        <v>20000</v>
      </c>
      <c r="G272" s="48">
        <v>20000</v>
      </c>
      <c r="H272" s="7">
        <v>0</v>
      </c>
      <c r="I272" s="5" t="s">
        <v>192</v>
      </c>
      <c r="J272" s="3" t="s">
        <v>2</v>
      </c>
      <c r="K272" s="5"/>
    </row>
    <row r="273" spans="1:11" ht="15" thickBot="1" x14ac:dyDescent="0.35">
      <c r="A273" s="9">
        <v>45693</v>
      </c>
      <c r="B273" s="4" t="s">
        <v>392</v>
      </c>
      <c r="C273" s="52" t="s">
        <v>386</v>
      </c>
      <c r="D273" s="47" t="s">
        <v>287</v>
      </c>
      <c r="E273" s="5" t="s">
        <v>10</v>
      </c>
      <c r="F273" s="6">
        <v>20000</v>
      </c>
      <c r="G273" s="48">
        <v>20000</v>
      </c>
      <c r="H273" s="7">
        <v>0</v>
      </c>
      <c r="I273" s="5" t="s">
        <v>192</v>
      </c>
      <c r="J273" s="3" t="s">
        <v>2</v>
      </c>
      <c r="K273" s="5"/>
    </row>
    <row r="274" spans="1:11" ht="15" thickBot="1" x14ac:dyDescent="0.35">
      <c r="A274" s="9">
        <v>45721</v>
      </c>
      <c r="B274" s="4" t="s">
        <v>46</v>
      </c>
      <c r="C274" s="52" t="s">
        <v>386</v>
      </c>
      <c r="D274" s="47" t="s">
        <v>287</v>
      </c>
      <c r="E274" s="5" t="s">
        <v>8</v>
      </c>
      <c r="F274" s="6">
        <v>20000</v>
      </c>
      <c r="G274" s="6">
        <v>1000</v>
      </c>
      <c r="H274" s="6">
        <v>19000</v>
      </c>
      <c r="I274" s="5"/>
      <c r="J274" s="5"/>
      <c r="K274" s="5"/>
    </row>
    <row r="275" spans="1:11" ht="15" thickBot="1" x14ac:dyDescent="0.35">
      <c r="A275" s="9">
        <v>45752</v>
      </c>
      <c r="B275" s="4" t="s">
        <v>393</v>
      </c>
      <c r="C275" s="52" t="s">
        <v>386</v>
      </c>
      <c r="D275" s="47" t="s">
        <v>287</v>
      </c>
      <c r="E275" s="5" t="s">
        <v>10</v>
      </c>
      <c r="F275" s="6">
        <v>20000</v>
      </c>
      <c r="G275" s="6">
        <v>20000</v>
      </c>
      <c r="H275" s="7">
        <v>0</v>
      </c>
      <c r="I275" s="5" t="s">
        <v>160</v>
      </c>
      <c r="J275" s="3" t="s">
        <v>2</v>
      </c>
      <c r="K275" s="5" t="s">
        <v>395</v>
      </c>
    </row>
    <row r="276" spans="1:11" ht="15" thickBot="1" x14ac:dyDescent="0.35">
      <c r="A276" s="9">
        <v>45782</v>
      </c>
      <c r="B276" s="4" t="s">
        <v>396</v>
      </c>
      <c r="C276" s="52" t="s">
        <v>386</v>
      </c>
      <c r="D276" s="47" t="s">
        <v>287</v>
      </c>
      <c r="E276" s="5" t="s">
        <v>49</v>
      </c>
      <c r="F276" s="6">
        <v>20000</v>
      </c>
      <c r="G276" s="6">
        <v>2000</v>
      </c>
      <c r="H276" s="6">
        <v>18000</v>
      </c>
      <c r="I276" s="5"/>
      <c r="J276" s="5"/>
      <c r="K276" s="5"/>
    </row>
    <row r="277" spans="1:11" ht="15" thickBot="1" x14ac:dyDescent="0.35">
      <c r="A277" s="9">
        <v>45813</v>
      </c>
      <c r="B277" s="4" t="s">
        <v>397</v>
      </c>
      <c r="C277" s="52" t="s">
        <v>386</v>
      </c>
      <c r="D277" s="47" t="s">
        <v>287</v>
      </c>
      <c r="E277" s="5" t="s">
        <v>10</v>
      </c>
      <c r="F277" s="6">
        <v>20000</v>
      </c>
      <c r="G277" s="6">
        <v>3000</v>
      </c>
      <c r="H277" s="6">
        <v>17000</v>
      </c>
      <c r="I277" s="5"/>
      <c r="J277" s="5"/>
      <c r="K277" s="5"/>
    </row>
    <row r="278" spans="1:11" ht="15" thickBot="1" x14ac:dyDescent="0.35">
      <c r="A278" s="9">
        <v>45843</v>
      </c>
      <c r="B278" s="4" t="s">
        <v>398</v>
      </c>
      <c r="C278" s="52" t="s">
        <v>386</v>
      </c>
      <c r="D278" s="47" t="s">
        <v>287</v>
      </c>
      <c r="E278" s="5" t="s">
        <v>8</v>
      </c>
      <c r="F278" s="6">
        <v>20000</v>
      </c>
      <c r="G278" s="48">
        <v>20000</v>
      </c>
      <c r="H278" s="7">
        <v>0</v>
      </c>
      <c r="I278" s="5" t="s">
        <v>192</v>
      </c>
      <c r="J278" s="3" t="s">
        <v>2</v>
      </c>
      <c r="K278" s="5"/>
    </row>
    <row r="279" spans="1:11" ht="15" thickBot="1" x14ac:dyDescent="0.35">
      <c r="A279" s="9">
        <v>45843</v>
      </c>
      <c r="B279" s="4" t="s">
        <v>201</v>
      </c>
      <c r="C279" s="52" t="s">
        <v>386</v>
      </c>
      <c r="D279" s="47" t="s">
        <v>287</v>
      </c>
      <c r="E279" s="5" t="s">
        <v>10</v>
      </c>
      <c r="F279" s="6">
        <v>20000</v>
      </c>
      <c r="G279" s="6">
        <v>2000</v>
      </c>
      <c r="H279" s="6">
        <v>18000</v>
      </c>
      <c r="I279" s="5"/>
      <c r="J279" s="5"/>
      <c r="K279" s="5"/>
    </row>
    <row r="280" spans="1:11" ht="15" thickBot="1" x14ac:dyDescent="0.35">
      <c r="A280" s="9">
        <v>45843</v>
      </c>
      <c r="B280" s="4" t="s">
        <v>399</v>
      </c>
      <c r="C280" s="52" t="s">
        <v>386</v>
      </c>
      <c r="D280" s="47" t="s">
        <v>287</v>
      </c>
      <c r="E280" s="5" t="s">
        <v>49</v>
      </c>
      <c r="F280" s="6">
        <v>20000</v>
      </c>
      <c r="G280" s="48">
        <v>20000</v>
      </c>
      <c r="H280" s="7">
        <v>0</v>
      </c>
      <c r="I280" s="5" t="s">
        <v>324</v>
      </c>
      <c r="J280" s="3" t="s">
        <v>2</v>
      </c>
      <c r="K280" s="5" t="s">
        <v>400</v>
      </c>
    </row>
    <row r="281" spans="1:11" ht="15" thickBot="1" x14ac:dyDescent="0.35">
      <c r="A281" s="9">
        <v>45843</v>
      </c>
      <c r="B281" s="4" t="s">
        <v>401</v>
      </c>
      <c r="C281" s="52" t="s">
        <v>386</v>
      </c>
      <c r="D281" s="47" t="s">
        <v>287</v>
      </c>
      <c r="E281" s="5" t="s">
        <v>10</v>
      </c>
      <c r="F281" s="6">
        <v>20000</v>
      </c>
      <c r="G281" s="48">
        <v>20000</v>
      </c>
      <c r="H281" s="7">
        <v>0</v>
      </c>
      <c r="I281" s="5" t="s">
        <v>192</v>
      </c>
      <c r="J281" s="3" t="s">
        <v>2</v>
      </c>
      <c r="K281" s="5"/>
    </row>
    <row r="282" spans="1:11" ht="15" thickBot="1" x14ac:dyDescent="0.35">
      <c r="A282" s="9">
        <v>45874</v>
      </c>
      <c r="B282" s="4" t="s">
        <v>402</v>
      </c>
      <c r="C282" s="52" t="s">
        <v>386</v>
      </c>
      <c r="D282" s="49" t="s">
        <v>306</v>
      </c>
      <c r="E282" s="5" t="s">
        <v>49</v>
      </c>
      <c r="F282" s="6">
        <v>20000</v>
      </c>
      <c r="G282" s="48">
        <v>20000</v>
      </c>
      <c r="H282" s="7">
        <v>0</v>
      </c>
      <c r="I282" s="5" t="s">
        <v>307</v>
      </c>
      <c r="J282" s="3" t="s">
        <v>2</v>
      </c>
      <c r="K282" s="5"/>
    </row>
    <row r="283" spans="1:11" ht="15" thickBot="1" x14ac:dyDescent="0.35">
      <c r="A283" s="9">
        <v>45874</v>
      </c>
      <c r="B283" s="4" t="s">
        <v>403</v>
      </c>
      <c r="C283" s="52" t="s">
        <v>386</v>
      </c>
      <c r="D283" s="47" t="s">
        <v>287</v>
      </c>
      <c r="E283" s="5" t="s">
        <v>8</v>
      </c>
      <c r="F283" s="6">
        <v>20000</v>
      </c>
      <c r="G283" s="48">
        <v>20000</v>
      </c>
      <c r="H283" s="7">
        <v>0</v>
      </c>
      <c r="I283" s="5" t="s">
        <v>160</v>
      </c>
      <c r="J283" s="3" t="s">
        <v>2</v>
      </c>
      <c r="K283" s="5"/>
    </row>
    <row r="284" spans="1:11" ht="15" thickBot="1" x14ac:dyDescent="0.35">
      <c r="A284" s="9">
        <v>45874</v>
      </c>
      <c r="B284" s="4" t="s">
        <v>404</v>
      </c>
      <c r="C284" s="52" t="s">
        <v>386</v>
      </c>
      <c r="D284" s="47" t="s">
        <v>287</v>
      </c>
      <c r="E284" s="5" t="s">
        <v>49</v>
      </c>
      <c r="F284" s="6">
        <v>20000</v>
      </c>
      <c r="G284" s="48">
        <v>20000</v>
      </c>
      <c r="H284" s="7">
        <v>0</v>
      </c>
      <c r="I284" s="5" t="s">
        <v>192</v>
      </c>
      <c r="J284" s="3" t="s">
        <v>2</v>
      </c>
      <c r="K284" s="5"/>
    </row>
    <row r="285" spans="1:11" ht="15" thickBot="1" x14ac:dyDescent="0.35">
      <c r="A285" s="9">
        <v>45874</v>
      </c>
      <c r="B285" s="4" t="s">
        <v>405</v>
      </c>
      <c r="C285" s="52" t="s">
        <v>386</v>
      </c>
      <c r="D285" s="47" t="s">
        <v>287</v>
      </c>
      <c r="E285" s="5" t="s">
        <v>10</v>
      </c>
      <c r="F285" s="6">
        <v>20000</v>
      </c>
      <c r="G285" s="48">
        <v>20000</v>
      </c>
      <c r="H285" s="7">
        <v>0</v>
      </c>
      <c r="I285" s="5" t="s">
        <v>192</v>
      </c>
      <c r="J285" s="3" t="s">
        <v>2</v>
      </c>
      <c r="K285" s="5"/>
    </row>
    <row r="286" spans="1:11" ht="15" thickBot="1" x14ac:dyDescent="0.35">
      <c r="A286" s="9">
        <v>45874</v>
      </c>
      <c r="B286" s="4" t="s">
        <v>406</v>
      </c>
      <c r="C286" s="52" t="s">
        <v>386</v>
      </c>
      <c r="D286" s="47" t="s">
        <v>287</v>
      </c>
      <c r="E286" s="5" t="s">
        <v>8</v>
      </c>
      <c r="F286" s="6">
        <v>20000</v>
      </c>
      <c r="G286" s="48">
        <v>20000</v>
      </c>
      <c r="H286" s="7">
        <v>0</v>
      </c>
      <c r="I286" s="5" t="s">
        <v>192</v>
      </c>
      <c r="J286" s="3" t="s">
        <v>2</v>
      </c>
      <c r="K286" s="5" t="s">
        <v>342</v>
      </c>
    </row>
    <row r="287" spans="1:11" ht="15" thickBot="1" x14ac:dyDescent="0.35">
      <c r="A287" s="9">
        <v>45905</v>
      </c>
      <c r="B287" s="4" t="s">
        <v>407</v>
      </c>
      <c r="C287" s="52" t="s">
        <v>386</v>
      </c>
      <c r="D287" s="47" t="s">
        <v>287</v>
      </c>
      <c r="E287" s="5" t="s">
        <v>8</v>
      </c>
      <c r="F287" s="6">
        <v>20000</v>
      </c>
      <c r="G287" s="6">
        <v>500</v>
      </c>
      <c r="H287" s="6">
        <v>19500</v>
      </c>
      <c r="I287" s="5"/>
      <c r="J287" s="5"/>
      <c r="K287" s="5"/>
    </row>
    <row r="288" spans="1:11" ht="15" thickBot="1" x14ac:dyDescent="0.35">
      <c r="A288" s="9">
        <v>45905</v>
      </c>
      <c r="B288" s="4" t="s">
        <v>408</v>
      </c>
      <c r="C288" s="52" t="s">
        <v>386</v>
      </c>
      <c r="D288" s="47" t="s">
        <v>287</v>
      </c>
      <c r="E288" s="5" t="s">
        <v>49</v>
      </c>
      <c r="F288" s="6">
        <v>20000</v>
      </c>
      <c r="G288" s="6">
        <v>10000</v>
      </c>
      <c r="H288" s="6">
        <v>10000</v>
      </c>
      <c r="I288" s="5" t="s">
        <v>324</v>
      </c>
      <c r="J288" s="5"/>
      <c r="K288" s="5" t="s">
        <v>409</v>
      </c>
    </row>
    <row r="289" spans="1:11" ht="15" thickBot="1" x14ac:dyDescent="0.35">
      <c r="A289" s="9">
        <v>45935</v>
      </c>
      <c r="B289" s="4" t="s">
        <v>410</v>
      </c>
      <c r="C289" s="52" t="s">
        <v>386</v>
      </c>
      <c r="D289" s="47" t="s">
        <v>287</v>
      </c>
      <c r="E289" s="5" t="s">
        <v>10</v>
      </c>
      <c r="F289" s="6">
        <v>20000</v>
      </c>
      <c r="G289" s="48">
        <v>20000</v>
      </c>
      <c r="H289" s="7">
        <v>0</v>
      </c>
      <c r="I289" s="5" t="s">
        <v>192</v>
      </c>
      <c r="J289" s="3" t="s">
        <v>2</v>
      </c>
      <c r="K289" s="5"/>
    </row>
    <row r="290" spans="1:11" ht="15" thickBot="1" x14ac:dyDescent="0.35">
      <c r="A290" s="9">
        <v>45935</v>
      </c>
      <c r="B290" s="4" t="s">
        <v>411</v>
      </c>
      <c r="C290" s="52" t="s">
        <v>386</v>
      </c>
      <c r="D290" s="47" t="s">
        <v>287</v>
      </c>
      <c r="E290" s="5" t="s">
        <v>10</v>
      </c>
      <c r="F290" s="6">
        <v>20000</v>
      </c>
      <c r="G290" s="48">
        <v>20000</v>
      </c>
      <c r="H290" s="7">
        <v>0</v>
      </c>
      <c r="I290" s="5" t="s">
        <v>192</v>
      </c>
      <c r="J290" s="3" t="s">
        <v>2</v>
      </c>
      <c r="K290" s="5"/>
    </row>
    <row r="291" spans="1:11" ht="15" thickBot="1" x14ac:dyDescent="0.35">
      <c r="A291" s="9">
        <v>45935</v>
      </c>
      <c r="B291" s="4" t="s">
        <v>412</v>
      </c>
      <c r="C291" s="52" t="s">
        <v>386</v>
      </c>
      <c r="D291" s="47" t="s">
        <v>287</v>
      </c>
      <c r="E291" s="5" t="s">
        <v>8</v>
      </c>
      <c r="F291" s="6">
        <v>20000</v>
      </c>
      <c r="G291" s="6">
        <v>2000</v>
      </c>
      <c r="H291" s="6">
        <v>18000</v>
      </c>
      <c r="I291" s="5"/>
      <c r="J291" s="5"/>
      <c r="K291" s="5"/>
    </row>
    <row r="292" spans="1:11" ht="15" thickBot="1" x14ac:dyDescent="0.35">
      <c r="A292" s="9">
        <v>45996</v>
      </c>
      <c r="B292" s="4" t="s">
        <v>413</v>
      </c>
      <c r="C292" s="52" t="s">
        <v>386</v>
      </c>
      <c r="D292" s="47" t="s">
        <v>287</v>
      </c>
      <c r="E292" s="5" t="s">
        <v>8</v>
      </c>
      <c r="F292" s="6">
        <v>20000</v>
      </c>
      <c r="G292" s="6">
        <v>4000</v>
      </c>
      <c r="H292" s="6">
        <v>16000</v>
      </c>
      <c r="I292" s="5"/>
      <c r="J292" s="5"/>
      <c r="K292" s="5"/>
    </row>
    <row r="293" spans="1:11" ht="15" thickBot="1" x14ac:dyDescent="0.35">
      <c r="A293" s="3" t="s">
        <v>414</v>
      </c>
      <c r="B293" s="4" t="s">
        <v>415</v>
      </c>
      <c r="C293" s="52" t="s">
        <v>386</v>
      </c>
      <c r="D293" s="47" t="s">
        <v>287</v>
      </c>
      <c r="E293" s="5" t="s">
        <v>49</v>
      </c>
      <c r="F293" s="6">
        <v>20000</v>
      </c>
      <c r="G293" s="48">
        <v>10000</v>
      </c>
      <c r="H293" s="6">
        <v>10000</v>
      </c>
      <c r="I293" s="5" t="s">
        <v>192</v>
      </c>
      <c r="J293" s="5"/>
      <c r="K293" s="5" t="s">
        <v>308</v>
      </c>
    </row>
    <row r="294" spans="1:11" ht="15" thickBot="1" x14ac:dyDescent="0.35">
      <c r="A294" s="3" t="s">
        <v>414</v>
      </c>
      <c r="B294" s="4" t="s">
        <v>416</v>
      </c>
      <c r="C294" s="52" t="s">
        <v>386</v>
      </c>
      <c r="D294" s="47" t="s">
        <v>287</v>
      </c>
      <c r="E294" s="5" t="s">
        <v>10</v>
      </c>
      <c r="F294" s="6">
        <v>20000</v>
      </c>
      <c r="G294" s="6">
        <v>2000</v>
      </c>
      <c r="H294" s="6">
        <v>18000</v>
      </c>
      <c r="I294" s="5"/>
      <c r="J294" s="5"/>
      <c r="K294" s="5"/>
    </row>
    <row r="295" spans="1:11" ht="15" thickBot="1" x14ac:dyDescent="0.35">
      <c r="A295" s="3" t="s">
        <v>417</v>
      </c>
      <c r="B295" s="4" t="s">
        <v>418</v>
      </c>
      <c r="C295" s="52" t="s">
        <v>386</v>
      </c>
      <c r="D295" s="47" t="s">
        <v>287</v>
      </c>
      <c r="E295" s="5" t="s">
        <v>8</v>
      </c>
      <c r="F295" s="6">
        <v>20000</v>
      </c>
      <c r="G295" s="48">
        <v>20000</v>
      </c>
      <c r="H295" s="7">
        <v>0</v>
      </c>
      <c r="I295" s="5" t="s">
        <v>192</v>
      </c>
      <c r="J295" s="3" t="s">
        <v>2</v>
      </c>
      <c r="K295" s="5"/>
    </row>
    <row r="296" spans="1:11" ht="15" thickBot="1" x14ac:dyDescent="0.35">
      <c r="A296" s="3" t="s">
        <v>417</v>
      </c>
      <c r="B296" s="4" t="s">
        <v>419</v>
      </c>
      <c r="C296" s="52" t="s">
        <v>386</v>
      </c>
      <c r="D296" s="47" t="s">
        <v>287</v>
      </c>
      <c r="E296" s="5" t="s">
        <v>10</v>
      </c>
      <c r="F296" s="6">
        <v>20000</v>
      </c>
      <c r="G296" s="48">
        <v>10000</v>
      </c>
      <c r="H296" s="6">
        <v>10000</v>
      </c>
      <c r="I296" s="5" t="s">
        <v>324</v>
      </c>
      <c r="J296" s="5"/>
      <c r="K296" s="5" t="s">
        <v>420</v>
      </c>
    </row>
    <row r="297" spans="1:11" ht="15" thickBot="1" x14ac:dyDescent="0.35">
      <c r="A297" s="3" t="s">
        <v>421</v>
      </c>
      <c r="B297" s="4" t="s">
        <v>422</v>
      </c>
      <c r="C297" s="52" t="s">
        <v>386</v>
      </c>
      <c r="D297" s="47" t="s">
        <v>287</v>
      </c>
      <c r="E297" s="5" t="s">
        <v>10</v>
      </c>
      <c r="F297" s="6">
        <v>20000</v>
      </c>
      <c r="G297" s="48">
        <v>20000</v>
      </c>
      <c r="H297" s="7">
        <v>0</v>
      </c>
      <c r="I297" s="5" t="s">
        <v>192</v>
      </c>
      <c r="J297" s="3" t="s">
        <v>2</v>
      </c>
      <c r="K297" s="5"/>
    </row>
    <row r="298" spans="1:11" ht="15" thickBot="1" x14ac:dyDescent="0.35">
      <c r="A298" s="3" t="s">
        <v>421</v>
      </c>
      <c r="B298" s="4" t="s">
        <v>423</v>
      </c>
      <c r="C298" s="52" t="s">
        <v>386</v>
      </c>
      <c r="D298" s="47" t="s">
        <v>287</v>
      </c>
      <c r="E298" s="5" t="s">
        <v>8</v>
      </c>
      <c r="F298" s="6">
        <v>20000</v>
      </c>
      <c r="G298" s="48">
        <v>10000</v>
      </c>
      <c r="H298" s="6">
        <v>10000</v>
      </c>
      <c r="I298" s="5" t="s">
        <v>424</v>
      </c>
      <c r="J298" s="5"/>
      <c r="K298" s="5" t="s">
        <v>425</v>
      </c>
    </row>
    <row r="299" spans="1:11" ht="15" thickBot="1" x14ac:dyDescent="0.35">
      <c r="A299" s="3" t="s">
        <v>421</v>
      </c>
      <c r="B299" s="4" t="s">
        <v>426</v>
      </c>
      <c r="C299" s="52" t="s">
        <v>386</v>
      </c>
      <c r="D299" s="47" t="s">
        <v>287</v>
      </c>
      <c r="E299" s="5" t="s">
        <v>8</v>
      </c>
      <c r="F299" s="6">
        <v>20000</v>
      </c>
      <c r="G299" s="6">
        <v>2000</v>
      </c>
      <c r="H299" s="6">
        <v>18000</v>
      </c>
      <c r="I299" s="5"/>
      <c r="J299" s="5"/>
      <c r="K299" s="5"/>
    </row>
    <row r="300" spans="1:11" ht="15" thickBot="1" x14ac:dyDescent="0.35">
      <c r="A300" s="3" t="s">
        <v>421</v>
      </c>
      <c r="B300" s="4" t="s">
        <v>427</v>
      </c>
      <c r="C300" s="52" t="s">
        <v>386</v>
      </c>
      <c r="D300" s="47" t="s">
        <v>287</v>
      </c>
      <c r="E300" s="5" t="s">
        <v>8</v>
      </c>
      <c r="F300" s="6">
        <v>20000</v>
      </c>
      <c r="G300" s="48">
        <v>20000</v>
      </c>
      <c r="H300" s="7">
        <v>0</v>
      </c>
      <c r="I300" s="5" t="s">
        <v>192</v>
      </c>
      <c r="J300" s="3" t="s">
        <v>2</v>
      </c>
      <c r="K300" s="5"/>
    </row>
    <row r="301" spans="1:11" ht="15" thickBot="1" x14ac:dyDescent="0.35">
      <c r="A301" s="3" t="s">
        <v>428</v>
      </c>
      <c r="B301" s="31" t="s">
        <v>429</v>
      </c>
      <c r="C301" s="52" t="s">
        <v>386</v>
      </c>
      <c r="D301" s="47" t="s">
        <v>287</v>
      </c>
      <c r="E301" s="5" t="s">
        <v>10</v>
      </c>
      <c r="F301" s="6">
        <v>20000</v>
      </c>
      <c r="G301" s="48">
        <v>10000</v>
      </c>
      <c r="H301" s="6">
        <v>10000</v>
      </c>
      <c r="I301" s="5" t="s">
        <v>160</v>
      </c>
      <c r="J301" s="5"/>
      <c r="K301" s="5" t="s">
        <v>430</v>
      </c>
    </row>
    <row r="302" spans="1:11" ht="15" thickBot="1" x14ac:dyDescent="0.35">
      <c r="A302" s="3" t="s">
        <v>428</v>
      </c>
      <c r="B302" s="4" t="s">
        <v>431</v>
      </c>
      <c r="C302" s="52" t="s">
        <v>386</v>
      </c>
      <c r="D302" s="47" t="s">
        <v>287</v>
      </c>
      <c r="E302" s="5" t="s">
        <v>10</v>
      </c>
      <c r="F302" s="6">
        <v>20000</v>
      </c>
      <c r="G302" s="48">
        <v>20000</v>
      </c>
      <c r="H302" s="7">
        <v>0</v>
      </c>
      <c r="I302" s="5" t="s">
        <v>307</v>
      </c>
      <c r="J302" s="3" t="s">
        <v>2</v>
      </c>
      <c r="K302" s="5" t="s">
        <v>342</v>
      </c>
    </row>
    <row r="303" spans="1:11" ht="15" thickBot="1" x14ac:dyDescent="0.35">
      <c r="A303" s="3" t="s">
        <v>432</v>
      </c>
      <c r="B303" s="4" t="s">
        <v>433</v>
      </c>
      <c r="C303" s="52" t="s">
        <v>386</v>
      </c>
      <c r="D303" s="47" t="s">
        <v>287</v>
      </c>
      <c r="E303" s="5" t="s">
        <v>10</v>
      </c>
      <c r="F303" s="6">
        <v>20000</v>
      </c>
      <c r="G303" s="6">
        <v>20000</v>
      </c>
      <c r="H303" s="7">
        <v>0</v>
      </c>
      <c r="I303" s="5" t="s">
        <v>434</v>
      </c>
      <c r="J303" s="3" t="s">
        <v>2</v>
      </c>
      <c r="K303" s="5" t="s">
        <v>435</v>
      </c>
    </row>
    <row r="304" spans="1:11" ht="15" thickBot="1" x14ac:dyDescent="0.35">
      <c r="A304" s="3" t="s">
        <v>432</v>
      </c>
      <c r="B304" s="4" t="s">
        <v>436</v>
      </c>
      <c r="C304" s="52" t="s">
        <v>386</v>
      </c>
      <c r="D304" s="47" t="s">
        <v>287</v>
      </c>
      <c r="E304" s="5" t="s">
        <v>10</v>
      </c>
      <c r="F304" s="6">
        <v>20000</v>
      </c>
      <c r="G304" s="48">
        <v>20000</v>
      </c>
      <c r="H304" s="7">
        <v>0</v>
      </c>
      <c r="I304" s="5" t="s">
        <v>160</v>
      </c>
      <c r="J304" s="3" t="s">
        <v>2</v>
      </c>
      <c r="K304" s="5"/>
    </row>
    <row r="305" spans="1:11" ht="15" thickBot="1" x14ac:dyDescent="0.35">
      <c r="A305" s="3" t="s">
        <v>432</v>
      </c>
      <c r="B305" s="4" t="s">
        <v>437</v>
      </c>
      <c r="C305" s="52" t="s">
        <v>386</v>
      </c>
      <c r="D305" s="47" t="s">
        <v>287</v>
      </c>
      <c r="E305" s="5" t="s">
        <v>8</v>
      </c>
      <c r="F305" s="6">
        <v>20000</v>
      </c>
      <c r="G305" s="48">
        <v>20000</v>
      </c>
      <c r="H305" s="7">
        <v>0</v>
      </c>
      <c r="I305" s="5" t="s">
        <v>160</v>
      </c>
      <c r="J305" s="3" t="s">
        <v>2</v>
      </c>
      <c r="K305" s="5"/>
    </row>
    <row r="306" spans="1:11" ht="15" thickBot="1" x14ac:dyDescent="0.35">
      <c r="A306" s="3" t="s">
        <v>432</v>
      </c>
      <c r="B306" s="4" t="s">
        <v>389</v>
      </c>
      <c r="C306" s="52" t="s">
        <v>386</v>
      </c>
      <c r="D306" s="47" t="s">
        <v>287</v>
      </c>
      <c r="E306" s="5" t="s">
        <v>8</v>
      </c>
      <c r="F306" s="6">
        <v>20000</v>
      </c>
      <c r="G306" s="48">
        <v>20000</v>
      </c>
      <c r="H306" s="7">
        <v>0</v>
      </c>
      <c r="I306" s="5" t="s">
        <v>160</v>
      </c>
      <c r="J306" s="3" t="s">
        <v>2</v>
      </c>
      <c r="K306" s="5"/>
    </row>
    <row r="307" spans="1:11" ht="15" thickBot="1" x14ac:dyDescent="0.35">
      <c r="A307" s="3" t="s">
        <v>432</v>
      </c>
      <c r="B307" s="4" t="s">
        <v>438</v>
      </c>
      <c r="C307" s="52" t="s">
        <v>386</v>
      </c>
      <c r="D307" s="47" t="s">
        <v>287</v>
      </c>
      <c r="E307" s="5" t="s">
        <v>10</v>
      </c>
      <c r="F307" s="6">
        <v>20000</v>
      </c>
      <c r="G307" s="48">
        <v>20000</v>
      </c>
      <c r="H307" s="7">
        <v>0</v>
      </c>
      <c r="I307" s="5" t="s">
        <v>192</v>
      </c>
      <c r="J307" s="3" t="s">
        <v>2</v>
      </c>
      <c r="K307" s="5"/>
    </row>
    <row r="308" spans="1:11" ht="15" thickBot="1" x14ac:dyDescent="0.35">
      <c r="A308" s="3" t="s">
        <v>439</v>
      </c>
      <c r="B308" s="31" t="s">
        <v>440</v>
      </c>
      <c r="C308" s="52" t="s">
        <v>386</v>
      </c>
      <c r="D308" s="47" t="s">
        <v>287</v>
      </c>
      <c r="E308" s="5" t="s">
        <v>8</v>
      </c>
      <c r="F308" s="6">
        <v>20000</v>
      </c>
      <c r="G308" s="48">
        <v>13000</v>
      </c>
      <c r="H308" s="6">
        <v>7000</v>
      </c>
      <c r="I308" s="5" t="s">
        <v>160</v>
      </c>
      <c r="J308" s="5"/>
      <c r="K308" s="5" t="s">
        <v>316</v>
      </c>
    </row>
    <row r="309" spans="1:11" ht="15" thickBot="1" x14ac:dyDescent="0.35">
      <c r="A309" s="3" t="s">
        <v>439</v>
      </c>
      <c r="B309" s="4" t="s">
        <v>441</v>
      </c>
      <c r="C309" s="52" t="s">
        <v>386</v>
      </c>
      <c r="D309" s="47" t="s">
        <v>287</v>
      </c>
      <c r="E309" s="5" t="s">
        <v>8</v>
      </c>
      <c r="F309" s="6">
        <v>20000</v>
      </c>
      <c r="G309" s="48">
        <v>20000</v>
      </c>
      <c r="H309" s="7">
        <v>0</v>
      </c>
      <c r="I309" s="5" t="s">
        <v>160</v>
      </c>
      <c r="J309" s="3" t="s">
        <v>2</v>
      </c>
      <c r="K309" s="5"/>
    </row>
    <row r="310" spans="1:11" ht="15" thickBot="1" x14ac:dyDescent="0.35">
      <c r="A310" s="3" t="s">
        <v>442</v>
      </c>
      <c r="B310" s="4" t="s">
        <v>443</v>
      </c>
      <c r="C310" s="52" t="s">
        <v>386</v>
      </c>
      <c r="D310" s="47" t="s">
        <v>287</v>
      </c>
      <c r="E310" s="5" t="s">
        <v>8</v>
      </c>
      <c r="F310" s="6">
        <v>20000</v>
      </c>
      <c r="G310" s="6">
        <v>4000</v>
      </c>
      <c r="H310" s="6">
        <v>16000</v>
      </c>
      <c r="I310" s="5" t="s">
        <v>192</v>
      </c>
      <c r="J310" s="5"/>
      <c r="K310" s="5" t="s">
        <v>316</v>
      </c>
    </row>
    <row r="311" spans="1:11" ht="15" thickBot="1" x14ac:dyDescent="0.35">
      <c r="A311" s="3" t="s">
        <v>442</v>
      </c>
      <c r="B311" s="4" t="s">
        <v>444</v>
      </c>
      <c r="C311" s="52" t="s">
        <v>386</v>
      </c>
      <c r="D311" s="47" t="s">
        <v>287</v>
      </c>
      <c r="E311" s="5" t="s">
        <v>10</v>
      </c>
      <c r="F311" s="6">
        <v>20000</v>
      </c>
      <c r="G311" s="48">
        <v>20000</v>
      </c>
      <c r="H311" s="7">
        <v>0</v>
      </c>
      <c r="I311" s="5" t="s">
        <v>160</v>
      </c>
      <c r="J311" s="3" t="s">
        <v>2</v>
      </c>
      <c r="K311" s="5"/>
    </row>
    <row r="312" spans="1:11" ht="15" thickBot="1" x14ac:dyDescent="0.35">
      <c r="A312" s="3" t="s">
        <v>442</v>
      </c>
      <c r="B312" s="31" t="s">
        <v>445</v>
      </c>
      <c r="C312" s="52" t="s">
        <v>386</v>
      </c>
      <c r="D312" s="47" t="s">
        <v>287</v>
      </c>
      <c r="E312" s="5" t="s">
        <v>8</v>
      </c>
      <c r="F312" s="6">
        <v>20000</v>
      </c>
      <c r="G312" s="48">
        <v>10000</v>
      </c>
      <c r="H312" s="6">
        <v>10000</v>
      </c>
      <c r="I312" s="5" t="s">
        <v>160</v>
      </c>
      <c r="J312" s="5"/>
      <c r="K312" s="33">
        <v>45853</v>
      </c>
    </row>
    <row r="313" spans="1:11" ht="15" thickBot="1" x14ac:dyDescent="0.35">
      <c r="A313" s="3" t="s">
        <v>442</v>
      </c>
      <c r="B313" s="4" t="s">
        <v>446</v>
      </c>
      <c r="C313" s="52" t="s">
        <v>386</v>
      </c>
      <c r="D313" s="47" t="s">
        <v>287</v>
      </c>
      <c r="E313" s="5" t="s">
        <v>8</v>
      </c>
      <c r="F313" s="6">
        <v>20000</v>
      </c>
      <c r="G313" s="48">
        <v>20000</v>
      </c>
      <c r="H313" s="7">
        <v>0</v>
      </c>
      <c r="I313" s="5" t="s">
        <v>160</v>
      </c>
      <c r="J313" s="3" t="s">
        <v>2</v>
      </c>
      <c r="K313" s="5" t="s">
        <v>447</v>
      </c>
    </row>
    <row r="314" spans="1:11" ht="15" thickBot="1" x14ac:dyDescent="0.35">
      <c r="A314" s="3" t="s">
        <v>442</v>
      </c>
      <c r="B314" s="4" t="s">
        <v>448</v>
      </c>
      <c r="C314" s="52" t="s">
        <v>386</v>
      </c>
      <c r="D314" s="47" t="s">
        <v>287</v>
      </c>
      <c r="E314" s="5" t="s">
        <v>8</v>
      </c>
      <c r="F314" s="6">
        <v>20000</v>
      </c>
      <c r="G314" s="6">
        <v>20000</v>
      </c>
      <c r="H314" s="7">
        <v>0</v>
      </c>
      <c r="I314" s="5" t="s">
        <v>199</v>
      </c>
      <c r="J314" s="5"/>
      <c r="K314" s="5" t="s">
        <v>449</v>
      </c>
    </row>
    <row r="315" spans="1:11" ht="15" thickBot="1" x14ac:dyDescent="0.35">
      <c r="A315" s="3" t="s">
        <v>442</v>
      </c>
      <c r="B315" s="4" t="s">
        <v>450</v>
      </c>
      <c r="C315" s="52" t="s">
        <v>386</v>
      </c>
      <c r="D315" s="47" t="s">
        <v>287</v>
      </c>
      <c r="E315" s="5" t="s">
        <v>10</v>
      </c>
      <c r="F315" s="6">
        <v>20000</v>
      </c>
      <c r="G315" s="6">
        <v>20000</v>
      </c>
      <c r="H315" s="7">
        <v>0</v>
      </c>
      <c r="I315" s="5" t="s">
        <v>324</v>
      </c>
      <c r="J315" s="5"/>
      <c r="K315" s="33">
        <v>45874</v>
      </c>
    </row>
    <row r="316" spans="1:11" ht="15" thickBot="1" x14ac:dyDescent="0.35">
      <c r="A316" s="3" t="s">
        <v>451</v>
      </c>
      <c r="B316" s="4" t="s">
        <v>452</v>
      </c>
      <c r="C316" s="52" t="s">
        <v>386</v>
      </c>
      <c r="D316" s="47" t="s">
        <v>287</v>
      </c>
      <c r="E316" s="5" t="s">
        <v>8</v>
      </c>
      <c r="F316" s="6">
        <v>20000</v>
      </c>
      <c r="G316" s="48">
        <v>20000</v>
      </c>
      <c r="H316" s="7">
        <v>0</v>
      </c>
      <c r="I316" s="5" t="s">
        <v>160</v>
      </c>
      <c r="J316" s="3" t="s">
        <v>2</v>
      </c>
      <c r="K316" s="5"/>
    </row>
    <row r="317" spans="1:11" ht="15" thickBot="1" x14ac:dyDescent="0.35">
      <c r="A317" s="3" t="s">
        <v>451</v>
      </c>
      <c r="B317" s="4" t="s">
        <v>453</v>
      </c>
      <c r="C317" s="52" t="s">
        <v>386</v>
      </c>
      <c r="D317" s="47" t="s">
        <v>287</v>
      </c>
      <c r="E317" s="5" t="s">
        <v>8</v>
      </c>
      <c r="F317" s="6">
        <v>20000</v>
      </c>
      <c r="G317" s="48">
        <v>20000</v>
      </c>
      <c r="H317" s="7">
        <v>0</v>
      </c>
      <c r="I317" s="5" t="s">
        <v>160</v>
      </c>
      <c r="J317" s="3" t="s">
        <v>2</v>
      </c>
      <c r="K317" s="5"/>
    </row>
    <row r="318" spans="1:11" ht="15" thickBot="1" x14ac:dyDescent="0.35">
      <c r="A318" s="3" t="s">
        <v>454</v>
      </c>
      <c r="B318" s="4" t="s">
        <v>455</v>
      </c>
      <c r="C318" s="52" t="s">
        <v>386</v>
      </c>
      <c r="D318" s="47" t="s">
        <v>287</v>
      </c>
      <c r="E318" s="5" t="s">
        <v>8</v>
      </c>
      <c r="F318" s="6">
        <v>20000</v>
      </c>
      <c r="G318" s="6">
        <v>20000</v>
      </c>
      <c r="H318" s="7">
        <v>0</v>
      </c>
      <c r="I318" s="5" t="s">
        <v>160</v>
      </c>
      <c r="J318" s="3" t="s">
        <v>2</v>
      </c>
      <c r="K318" s="5"/>
    </row>
    <row r="319" spans="1:11" ht="15" thickBot="1" x14ac:dyDescent="0.35">
      <c r="A319" s="3" t="s">
        <v>454</v>
      </c>
      <c r="B319" s="4" t="s">
        <v>456</v>
      </c>
      <c r="C319" s="52" t="s">
        <v>386</v>
      </c>
      <c r="D319" s="47" t="s">
        <v>287</v>
      </c>
      <c r="E319" s="5" t="s">
        <v>457</v>
      </c>
      <c r="F319" s="6">
        <v>20000</v>
      </c>
      <c r="G319" s="6">
        <v>20000</v>
      </c>
      <c r="H319" s="7">
        <v>0</v>
      </c>
      <c r="I319" s="5" t="s">
        <v>160</v>
      </c>
      <c r="J319" s="3" t="s">
        <v>2</v>
      </c>
      <c r="K319" s="5"/>
    </row>
    <row r="320" spans="1:11" ht="15" thickBot="1" x14ac:dyDescent="0.35">
      <c r="A320" s="3" t="s">
        <v>458</v>
      </c>
      <c r="B320" s="4" t="s">
        <v>459</v>
      </c>
      <c r="C320" s="52" t="s">
        <v>386</v>
      </c>
      <c r="D320" s="47" t="s">
        <v>287</v>
      </c>
      <c r="E320" s="5" t="s">
        <v>457</v>
      </c>
      <c r="F320" s="6">
        <v>20000</v>
      </c>
      <c r="G320" s="6">
        <v>20000</v>
      </c>
      <c r="H320" s="7">
        <v>0</v>
      </c>
      <c r="I320" s="5" t="s">
        <v>160</v>
      </c>
      <c r="J320" s="3" t="s">
        <v>2</v>
      </c>
      <c r="K320" s="5"/>
    </row>
    <row r="321" spans="1:11" ht="15" thickBot="1" x14ac:dyDescent="0.35">
      <c r="A321" s="3" t="s">
        <v>458</v>
      </c>
      <c r="B321" s="4" t="s">
        <v>460</v>
      </c>
      <c r="C321" s="52" t="s">
        <v>386</v>
      </c>
      <c r="D321" s="47" t="s">
        <v>287</v>
      </c>
      <c r="E321" s="5" t="s">
        <v>457</v>
      </c>
      <c r="F321" s="6">
        <v>20000</v>
      </c>
      <c r="G321" s="6">
        <v>20000</v>
      </c>
      <c r="H321" s="7">
        <v>0</v>
      </c>
      <c r="I321" s="5" t="s">
        <v>160</v>
      </c>
      <c r="J321" s="3" t="s">
        <v>2</v>
      </c>
      <c r="K321" s="5"/>
    </row>
    <row r="322" spans="1:11" ht="15" thickBot="1" x14ac:dyDescent="0.35">
      <c r="A322" s="3" t="s">
        <v>461</v>
      </c>
      <c r="B322" s="4" t="s">
        <v>462</v>
      </c>
      <c r="C322" s="52" t="s">
        <v>386</v>
      </c>
      <c r="D322" s="47" t="s">
        <v>287</v>
      </c>
      <c r="E322" s="5" t="s">
        <v>8</v>
      </c>
      <c r="F322" s="6">
        <v>20000</v>
      </c>
      <c r="G322" s="48">
        <v>20000</v>
      </c>
      <c r="H322" s="7">
        <v>0</v>
      </c>
      <c r="I322" s="5" t="s">
        <v>160</v>
      </c>
      <c r="J322" s="3" t="s">
        <v>2</v>
      </c>
      <c r="K322" s="5"/>
    </row>
    <row r="323" spans="1:11" ht="15" thickBot="1" x14ac:dyDescent="0.35">
      <c r="A323" s="3" t="s">
        <v>461</v>
      </c>
      <c r="B323" s="4" t="s">
        <v>463</v>
      </c>
      <c r="C323" s="52" t="s">
        <v>386</v>
      </c>
      <c r="D323" s="47" t="s">
        <v>287</v>
      </c>
      <c r="E323" s="5" t="s">
        <v>10</v>
      </c>
      <c r="F323" s="6">
        <v>20000</v>
      </c>
      <c r="G323" s="6">
        <v>10000</v>
      </c>
      <c r="H323" s="6">
        <v>10000</v>
      </c>
      <c r="I323" s="5" t="s">
        <v>324</v>
      </c>
      <c r="J323" s="5"/>
      <c r="K323" s="5" t="s">
        <v>420</v>
      </c>
    </row>
    <row r="324" spans="1:11" ht="15" thickBot="1" x14ac:dyDescent="0.35">
      <c r="A324" s="3" t="s">
        <v>464</v>
      </c>
      <c r="B324" s="5" t="s">
        <v>465</v>
      </c>
      <c r="C324" s="52" t="s">
        <v>386</v>
      </c>
      <c r="D324" s="47" t="s">
        <v>287</v>
      </c>
      <c r="E324" s="5" t="s">
        <v>457</v>
      </c>
      <c r="F324" s="6">
        <v>20000</v>
      </c>
      <c r="G324" s="6">
        <v>2000</v>
      </c>
      <c r="H324" s="6">
        <v>18000</v>
      </c>
      <c r="I324" s="5"/>
      <c r="J324" s="5"/>
      <c r="K324" s="5"/>
    </row>
    <row r="325" spans="1:11" ht="15" thickBot="1" x14ac:dyDescent="0.35">
      <c r="A325" s="3" t="s">
        <v>394</v>
      </c>
      <c r="B325" s="4" t="s">
        <v>466</v>
      </c>
      <c r="C325" s="52" t="s">
        <v>386</v>
      </c>
      <c r="D325" s="47" t="s">
        <v>287</v>
      </c>
      <c r="E325" s="5" t="s">
        <v>8</v>
      </c>
      <c r="F325" s="6">
        <v>20000</v>
      </c>
      <c r="G325" s="48">
        <v>20000</v>
      </c>
      <c r="H325" s="7">
        <v>0</v>
      </c>
      <c r="I325" s="5" t="s">
        <v>160</v>
      </c>
      <c r="J325" s="3" t="s">
        <v>2</v>
      </c>
      <c r="K325" s="5" t="s">
        <v>467</v>
      </c>
    </row>
    <row r="326" spans="1:11" ht="15" thickBot="1" x14ac:dyDescent="0.35">
      <c r="A326" s="3" t="s">
        <v>394</v>
      </c>
      <c r="B326" s="4" t="s">
        <v>468</v>
      </c>
      <c r="C326" s="52" t="s">
        <v>386</v>
      </c>
      <c r="D326" s="47" t="s">
        <v>287</v>
      </c>
      <c r="E326" s="5" t="s">
        <v>8</v>
      </c>
      <c r="F326" s="6">
        <v>20000</v>
      </c>
      <c r="G326" s="48">
        <v>20000</v>
      </c>
      <c r="H326" s="7">
        <v>0</v>
      </c>
      <c r="I326" s="5" t="s">
        <v>160</v>
      </c>
      <c r="J326" s="3" t="s">
        <v>2</v>
      </c>
      <c r="K326" s="5"/>
    </row>
    <row r="327" spans="1:11" ht="15" thickBot="1" x14ac:dyDescent="0.35">
      <c r="A327" s="3" t="s">
        <v>394</v>
      </c>
      <c r="B327" s="4" t="s">
        <v>469</v>
      </c>
      <c r="C327" s="52" t="s">
        <v>386</v>
      </c>
      <c r="D327" s="47" t="s">
        <v>287</v>
      </c>
      <c r="E327" s="5" t="s">
        <v>8</v>
      </c>
      <c r="F327" s="6">
        <v>20000</v>
      </c>
      <c r="G327" s="6">
        <v>20000</v>
      </c>
      <c r="H327" s="7">
        <v>0</v>
      </c>
      <c r="I327" s="5" t="s">
        <v>424</v>
      </c>
      <c r="J327" s="5"/>
      <c r="K327" s="5" t="s">
        <v>471</v>
      </c>
    </row>
    <row r="328" spans="1:11" ht="15" thickBot="1" x14ac:dyDescent="0.35">
      <c r="A328" s="3" t="s">
        <v>394</v>
      </c>
      <c r="B328" s="4" t="s">
        <v>472</v>
      </c>
      <c r="C328" s="52" t="s">
        <v>386</v>
      </c>
      <c r="D328" s="47" t="s">
        <v>287</v>
      </c>
      <c r="E328" s="5" t="s">
        <v>457</v>
      </c>
      <c r="F328" s="6">
        <v>20000</v>
      </c>
      <c r="G328" s="6">
        <v>20000</v>
      </c>
      <c r="H328" s="7">
        <v>0</v>
      </c>
      <c r="I328" s="5" t="s">
        <v>160</v>
      </c>
      <c r="J328" s="3" t="s">
        <v>2</v>
      </c>
      <c r="K328" s="5" t="s">
        <v>473</v>
      </c>
    </row>
    <row r="329" spans="1:11" ht="15" thickBot="1" x14ac:dyDescent="0.35">
      <c r="A329" s="3" t="s">
        <v>474</v>
      </c>
      <c r="B329" s="4" t="s">
        <v>475</v>
      </c>
      <c r="C329" s="52" t="s">
        <v>386</v>
      </c>
      <c r="D329" s="47" t="s">
        <v>287</v>
      </c>
      <c r="E329" s="5" t="s">
        <v>8</v>
      </c>
      <c r="F329" s="6">
        <v>20000</v>
      </c>
      <c r="G329" s="6">
        <v>20000</v>
      </c>
      <c r="H329" s="7">
        <v>0</v>
      </c>
      <c r="I329" s="5" t="s">
        <v>160</v>
      </c>
      <c r="J329" s="3" t="s">
        <v>2</v>
      </c>
      <c r="K329" s="5" t="s">
        <v>476</v>
      </c>
    </row>
    <row r="330" spans="1:11" ht="15" thickBot="1" x14ac:dyDescent="0.35">
      <c r="A330" s="3" t="s">
        <v>474</v>
      </c>
      <c r="B330" s="31" t="s">
        <v>477</v>
      </c>
      <c r="C330" s="52" t="s">
        <v>386</v>
      </c>
      <c r="D330" s="47" t="s">
        <v>287</v>
      </c>
      <c r="E330" s="5" t="s">
        <v>457</v>
      </c>
      <c r="F330" s="6">
        <v>20000</v>
      </c>
      <c r="G330" s="6">
        <v>10000</v>
      </c>
      <c r="H330" s="6">
        <v>10000</v>
      </c>
      <c r="I330" s="5" t="s">
        <v>160</v>
      </c>
      <c r="J330" s="5"/>
      <c r="K330" s="5" t="s">
        <v>316</v>
      </c>
    </row>
    <row r="331" spans="1:11" ht="15" thickBot="1" x14ac:dyDescent="0.35">
      <c r="A331" s="3" t="s">
        <v>474</v>
      </c>
      <c r="B331" s="4" t="s">
        <v>478</v>
      </c>
      <c r="C331" s="52" t="s">
        <v>386</v>
      </c>
      <c r="D331" s="47" t="s">
        <v>287</v>
      </c>
      <c r="E331" s="5" t="s">
        <v>8</v>
      </c>
      <c r="F331" s="6">
        <v>20000</v>
      </c>
      <c r="G331" s="48">
        <v>20000</v>
      </c>
      <c r="H331" s="7">
        <v>0</v>
      </c>
      <c r="I331" s="5" t="s">
        <v>160</v>
      </c>
      <c r="J331" s="3" t="s">
        <v>2</v>
      </c>
      <c r="K331" s="33">
        <v>45843</v>
      </c>
    </row>
    <row r="332" spans="1:11" ht="15" thickBot="1" x14ac:dyDescent="0.35">
      <c r="A332" s="3" t="s">
        <v>474</v>
      </c>
      <c r="B332" s="4" t="s">
        <v>479</v>
      </c>
      <c r="C332" s="52" t="s">
        <v>386</v>
      </c>
      <c r="D332" s="47" t="s">
        <v>287</v>
      </c>
      <c r="E332" s="5" t="s">
        <v>457</v>
      </c>
      <c r="F332" s="6">
        <v>20000</v>
      </c>
      <c r="G332" s="6">
        <v>20000</v>
      </c>
      <c r="H332" s="7">
        <v>0</v>
      </c>
      <c r="I332" s="5" t="s">
        <v>160</v>
      </c>
      <c r="J332" s="3" t="s">
        <v>2</v>
      </c>
      <c r="K332" s="5"/>
    </row>
    <row r="333" spans="1:11" ht="15" thickBot="1" x14ac:dyDescent="0.35">
      <c r="A333" s="3" t="s">
        <v>474</v>
      </c>
      <c r="B333" s="4" t="s">
        <v>480</v>
      </c>
      <c r="C333" s="52" t="s">
        <v>386</v>
      </c>
      <c r="D333" s="47" t="s">
        <v>287</v>
      </c>
      <c r="E333" s="5" t="s">
        <v>8</v>
      </c>
      <c r="F333" s="6">
        <v>20000</v>
      </c>
      <c r="G333" s="48">
        <v>20000</v>
      </c>
      <c r="H333" s="7">
        <v>0</v>
      </c>
      <c r="I333" s="5" t="s">
        <v>160</v>
      </c>
      <c r="J333" s="3" t="s">
        <v>2</v>
      </c>
      <c r="K333" s="5" t="s">
        <v>481</v>
      </c>
    </row>
    <row r="334" spans="1:11" ht="15" thickBot="1" x14ac:dyDescent="0.35">
      <c r="A334" s="3" t="s">
        <v>474</v>
      </c>
      <c r="B334" s="31" t="s">
        <v>482</v>
      </c>
      <c r="C334" s="52" t="s">
        <v>386</v>
      </c>
      <c r="D334" s="47" t="s">
        <v>287</v>
      </c>
      <c r="E334" s="5" t="s">
        <v>8</v>
      </c>
      <c r="F334" s="6">
        <v>20000</v>
      </c>
      <c r="G334" s="6">
        <v>5000</v>
      </c>
      <c r="H334" s="6">
        <v>15000</v>
      </c>
      <c r="I334" s="5" t="s">
        <v>160</v>
      </c>
      <c r="J334" s="5"/>
      <c r="K334" s="5" t="s">
        <v>483</v>
      </c>
    </row>
    <row r="335" spans="1:11" ht="15" thickBot="1" x14ac:dyDescent="0.35">
      <c r="A335" s="3" t="s">
        <v>474</v>
      </c>
      <c r="B335" s="4" t="s">
        <v>484</v>
      </c>
      <c r="C335" s="52" t="s">
        <v>386</v>
      </c>
      <c r="D335" s="47" t="s">
        <v>287</v>
      </c>
      <c r="E335" s="5" t="s">
        <v>457</v>
      </c>
      <c r="F335" s="6">
        <v>20000</v>
      </c>
      <c r="G335" s="6">
        <v>2000</v>
      </c>
      <c r="H335" s="6">
        <v>18000</v>
      </c>
      <c r="I335" s="5"/>
      <c r="J335" s="5"/>
      <c r="K335" s="5"/>
    </row>
    <row r="336" spans="1:11" ht="15" thickBot="1" x14ac:dyDescent="0.35">
      <c r="A336" s="3" t="s">
        <v>485</v>
      </c>
      <c r="B336" s="4" t="s">
        <v>486</v>
      </c>
      <c r="C336" s="52" t="s">
        <v>386</v>
      </c>
      <c r="D336" s="47" t="s">
        <v>287</v>
      </c>
      <c r="E336" s="5" t="s">
        <v>457</v>
      </c>
      <c r="F336" s="6">
        <v>20000</v>
      </c>
      <c r="G336" s="6">
        <v>2000</v>
      </c>
      <c r="H336" s="6">
        <v>18000</v>
      </c>
      <c r="I336" s="5"/>
      <c r="J336" s="5"/>
      <c r="K336" s="5"/>
    </row>
    <row r="337" spans="1:11" ht="15" thickBot="1" x14ac:dyDescent="0.35">
      <c r="A337" s="3" t="s">
        <v>485</v>
      </c>
      <c r="B337" s="4" t="s">
        <v>487</v>
      </c>
      <c r="C337" s="52" t="s">
        <v>386</v>
      </c>
      <c r="D337" s="47" t="s">
        <v>287</v>
      </c>
      <c r="E337" s="5" t="s">
        <v>8</v>
      </c>
      <c r="F337" s="6">
        <v>20000</v>
      </c>
      <c r="G337" s="48">
        <v>20000</v>
      </c>
      <c r="H337" s="7">
        <v>0</v>
      </c>
      <c r="I337" s="5" t="s">
        <v>160</v>
      </c>
      <c r="J337" s="5"/>
      <c r="K337" s="5" t="s">
        <v>488</v>
      </c>
    </row>
    <row r="338" spans="1:11" ht="15" thickBot="1" x14ac:dyDescent="0.35">
      <c r="A338" s="3" t="s">
        <v>485</v>
      </c>
      <c r="B338" s="31" t="s">
        <v>489</v>
      </c>
      <c r="C338" s="52" t="s">
        <v>386</v>
      </c>
      <c r="D338" s="47" t="s">
        <v>287</v>
      </c>
      <c r="E338" s="5" t="s">
        <v>457</v>
      </c>
      <c r="F338" s="6">
        <v>20000</v>
      </c>
      <c r="G338" s="6">
        <v>10000</v>
      </c>
      <c r="H338" s="6">
        <v>10000</v>
      </c>
      <c r="I338" s="5" t="s">
        <v>160</v>
      </c>
      <c r="J338" s="5"/>
      <c r="K338" s="5" t="s">
        <v>316</v>
      </c>
    </row>
    <row r="339" spans="1:11" ht="15" thickBot="1" x14ac:dyDescent="0.35">
      <c r="A339" s="3" t="s">
        <v>485</v>
      </c>
      <c r="B339" s="31" t="s">
        <v>490</v>
      </c>
      <c r="C339" s="52" t="s">
        <v>386</v>
      </c>
      <c r="D339" s="47" t="s">
        <v>287</v>
      </c>
      <c r="E339" s="5" t="s">
        <v>8</v>
      </c>
      <c r="F339" s="6">
        <v>20000</v>
      </c>
      <c r="G339" s="48">
        <v>10000</v>
      </c>
      <c r="H339" s="6">
        <v>10000</v>
      </c>
      <c r="I339" s="5" t="s">
        <v>424</v>
      </c>
      <c r="J339" s="5"/>
      <c r="K339" s="5" t="s">
        <v>491</v>
      </c>
    </row>
    <row r="340" spans="1:11" ht="15" thickBot="1" x14ac:dyDescent="0.35">
      <c r="A340" s="3" t="s">
        <v>485</v>
      </c>
      <c r="B340" s="4" t="s">
        <v>492</v>
      </c>
      <c r="C340" s="52" t="s">
        <v>386</v>
      </c>
      <c r="D340" s="47" t="s">
        <v>287</v>
      </c>
      <c r="E340" s="5" t="s">
        <v>457</v>
      </c>
      <c r="F340" s="6">
        <v>20000</v>
      </c>
      <c r="G340" s="6">
        <v>20000</v>
      </c>
      <c r="H340" s="7">
        <v>0</v>
      </c>
      <c r="I340" s="5" t="s">
        <v>324</v>
      </c>
      <c r="J340" s="5"/>
      <c r="K340" s="5" t="s">
        <v>493</v>
      </c>
    </row>
    <row r="341" spans="1:11" ht="15" thickBot="1" x14ac:dyDescent="0.35">
      <c r="A341" s="3" t="s">
        <v>485</v>
      </c>
      <c r="B341" s="4" t="s">
        <v>494</v>
      </c>
      <c r="C341" s="52" t="s">
        <v>386</v>
      </c>
      <c r="D341" s="47" t="s">
        <v>287</v>
      </c>
      <c r="E341" s="5" t="s">
        <v>8</v>
      </c>
      <c r="F341" s="6">
        <v>20000</v>
      </c>
      <c r="G341" s="6">
        <v>2000</v>
      </c>
      <c r="H341" s="6">
        <v>18000</v>
      </c>
      <c r="I341" s="5"/>
      <c r="J341" s="5"/>
      <c r="K341" s="5"/>
    </row>
    <row r="342" spans="1:11" ht="15" thickBot="1" x14ac:dyDescent="0.35">
      <c r="A342" s="3" t="s">
        <v>495</v>
      </c>
      <c r="B342" s="4" t="s">
        <v>496</v>
      </c>
      <c r="C342" s="52" t="s">
        <v>386</v>
      </c>
      <c r="D342" s="47" t="s">
        <v>287</v>
      </c>
      <c r="E342" s="5" t="s">
        <v>8</v>
      </c>
      <c r="F342" s="6">
        <v>20000</v>
      </c>
      <c r="G342" s="6">
        <v>1000</v>
      </c>
      <c r="H342" s="6">
        <v>19000</v>
      </c>
      <c r="I342" s="5"/>
      <c r="J342" s="5"/>
      <c r="K342" s="5"/>
    </row>
    <row r="343" spans="1:11" ht="15" thickBot="1" x14ac:dyDescent="0.35">
      <c r="A343" s="3" t="s">
        <v>497</v>
      </c>
      <c r="B343" s="5" t="s">
        <v>498</v>
      </c>
      <c r="C343" s="52" t="s">
        <v>386</v>
      </c>
      <c r="D343" s="47" t="s">
        <v>287</v>
      </c>
      <c r="E343" s="5" t="s">
        <v>8</v>
      </c>
      <c r="F343" s="6">
        <v>20000</v>
      </c>
      <c r="G343" s="6">
        <v>1000</v>
      </c>
      <c r="H343" s="6">
        <v>19000</v>
      </c>
      <c r="I343" s="5"/>
      <c r="J343" s="5"/>
      <c r="K343" s="5"/>
    </row>
    <row r="344" spans="1:11" ht="15" thickBot="1" x14ac:dyDescent="0.35">
      <c r="A344" s="3" t="s">
        <v>497</v>
      </c>
      <c r="B344" s="4" t="s">
        <v>500</v>
      </c>
      <c r="C344" s="52" t="s">
        <v>386</v>
      </c>
      <c r="D344" s="47" t="s">
        <v>287</v>
      </c>
      <c r="E344" s="5" t="s">
        <v>457</v>
      </c>
      <c r="F344" s="6">
        <v>20000</v>
      </c>
      <c r="G344" s="6">
        <v>20000</v>
      </c>
      <c r="H344" s="7">
        <v>0</v>
      </c>
      <c r="I344" s="5" t="s">
        <v>324</v>
      </c>
      <c r="J344" s="5"/>
      <c r="K344" s="5"/>
    </row>
    <row r="345" spans="1:11" ht="15" thickBot="1" x14ac:dyDescent="0.35">
      <c r="A345" s="3" t="s">
        <v>501</v>
      </c>
      <c r="B345" s="4" t="s">
        <v>502</v>
      </c>
      <c r="C345" s="52" t="s">
        <v>386</v>
      </c>
      <c r="D345" s="47" t="s">
        <v>287</v>
      </c>
      <c r="E345" s="5" t="s">
        <v>8</v>
      </c>
      <c r="F345" s="6">
        <v>20000</v>
      </c>
      <c r="G345" s="6">
        <v>20000</v>
      </c>
      <c r="H345" s="7">
        <v>0</v>
      </c>
      <c r="I345" s="5" t="s">
        <v>434</v>
      </c>
      <c r="J345" s="3" t="s">
        <v>2</v>
      </c>
      <c r="K345" s="5"/>
    </row>
    <row r="346" spans="1:11" ht="15" thickBot="1" x14ac:dyDescent="0.35">
      <c r="A346" s="3" t="s">
        <v>501</v>
      </c>
      <c r="B346" s="4" t="s">
        <v>503</v>
      </c>
      <c r="C346" s="52" t="s">
        <v>386</v>
      </c>
      <c r="D346" s="47" t="s">
        <v>287</v>
      </c>
      <c r="E346" s="5" t="s">
        <v>457</v>
      </c>
      <c r="F346" s="6">
        <v>20000</v>
      </c>
      <c r="G346" s="6">
        <v>1000</v>
      </c>
      <c r="H346" s="6">
        <v>19000</v>
      </c>
      <c r="I346" s="5"/>
      <c r="J346" s="5"/>
      <c r="K346" s="5"/>
    </row>
    <row r="347" spans="1:11" ht="15" thickBot="1" x14ac:dyDescent="0.35">
      <c r="A347" s="9">
        <v>45663</v>
      </c>
      <c r="B347" s="31" t="s">
        <v>504</v>
      </c>
      <c r="C347" s="46" t="s">
        <v>499</v>
      </c>
      <c r="D347" s="47" t="s">
        <v>287</v>
      </c>
      <c r="E347" s="5" t="s">
        <v>8</v>
      </c>
      <c r="F347" s="6">
        <v>20000</v>
      </c>
      <c r="G347" s="6">
        <v>10000</v>
      </c>
      <c r="H347" s="6">
        <v>10000</v>
      </c>
      <c r="I347" s="5" t="s">
        <v>424</v>
      </c>
      <c r="J347" s="5"/>
      <c r="K347" s="5" t="s">
        <v>505</v>
      </c>
    </row>
    <row r="348" spans="1:11" ht="15" thickBot="1" x14ac:dyDescent="0.35">
      <c r="A348" s="9">
        <v>45663</v>
      </c>
      <c r="B348" s="53" t="s">
        <v>154</v>
      </c>
      <c r="C348" s="46" t="s">
        <v>499</v>
      </c>
      <c r="D348" s="47" t="s">
        <v>287</v>
      </c>
      <c r="E348" s="5" t="s">
        <v>8</v>
      </c>
      <c r="F348" s="6">
        <v>20000</v>
      </c>
      <c r="G348" s="6">
        <v>2000</v>
      </c>
      <c r="H348" s="6">
        <v>18000</v>
      </c>
      <c r="I348" s="5"/>
      <c r="J348" s="5"/>
      <c r="K348" s="5"/>
    </row>
    <row r="349" spans="1:11" ht="15" thickBot="1" x14ac:dyDescent="0.35">
      <c r="A349" s="9">
        <v>45663</v>
      </c>
      <c r="B349" s="53" t="s">
        <v>506</v>
      </c>
      <c r="C349" s="46" t="s">
        <v>499</v>
      </c>
      <c r="D349" s="47" t="s">
        <v>287</v>
      </c>
      <c r="E349" s="5" t="s">
        <v>8</v>
      </c>
      <c r="F349" s="6">
        <v>20000</v>
      </c>
      <c r="G349" s="6">
        <v>2000</v>
      </c>
      <c r="H349" s="6">
        <v>18000</v>
      </c>
      <c r="I349" s="5"/>
      <c r="J349" s="5"/>
      <c r="K349" s="5"/>
    </row>
    <row r="350" spans="1:11" ht="15" thickBot="1" x14ac:dyDescent="0.35">
      <c r="A350" s="9">
        <v>45694</v>
      </c>
      <c r="B350" s="4" t="s">
        <v>507</v>
      </c>
      <c r="C350" s="46" t="s">
        <v>499</v>
      </c>
      <c r="D350" s="47" t="s">
        <v>287</v>
      </c>
      <c r="E350" s="5" t="s">
        <v>8</v>
      </c>
      <c r="F350" s="6">
        <v>20000</v>
      </c>
      <c r="G350" s="48">
        <v>10000</v>
      </c>
      <c r="H350" s="6">
        <v>10000</v>
      </c>
      <c r="I350" s="5" t="s">
        <v>324</v>
      </c>
      <c r="J350" s="5"/>
      <c r="K350" s="5" t="s">
        <v>420</v>
      </c>
    </row>
    <row r="351" spans="1:11" ht="15" thickBot="1" x14ac:dyDescent="0.35">
      <c r="A351" s="9">
        <v>45694</v>
      </c>
      <c r="B351" s="31" t="s">
        <v>508</v>
      </c>
      <c r="C351" s="46" t="s">
        <v>499</v>
      </c>
      <c r="D351" s="47" t="s">
        <v>287</v>
      </c>
      <c r="E351" s="5" t="s">
        <v>457</v>
      </c>
      <c r="F351" s="6">
        <v>20000</v>
      </c>
      <c r="G351" s="48">
        <v>10000</v>
      </c>
      <c r="H351" s="6">
        <v>10000</v>
      </c>
      <c r="I351" s="5" t="s">
        <v>160</v>
      </c>
      <c r="J351" s="5"/>
      <c r="K351" s="5" t="s">
        <v>509</v>
      </c>
    </row>
    <row r="352" spans="1:11" ht="15" thickBot="1" x14ac:dyDescent="0.35">
      <c r="A352" s="9">
        <v>45694</v>
      </c>
      <c r="B352" s="4" t="s">
        <v>510</v>
      </c>
      <c r="C352" s="46" t="s">
        <v>499</v>
      </c>
      <c r="D352" s="47" t="s">
        <v>287</v>
      </c>
      <c r="E352" s="5" t="s">
        <v>457</v>
      </c>
      <c r="F352" s="6">
        <v>20000</v>
      </c>
      <c r="G352" s="48">
        <v>20000</v>
      </c>
      <c r="H352" s="7">
        <v>0</v>
      </c>
      <c r="I352" s="5" t="s">
        <v>434</v>
      </c>
      <c r="J352" s="5"/>
      <c r="K352" s="5" t="s">
        <v>511</v>
      </c>
    </row>
    <row r="353" spans="1:11" ht="15" thickBot="1" x14ac:dyDescent="0.35">
      <c r="A353" s="9">
        <v>45722</v>
      </c>
      <c r="B353" s="4" t="s">
        <v>186</v>
      </c>
      <c r="C353" s="46" t="s">
        <v>499</v>
      </c>
      <c r="D353" s="47" t="s">
        <v>287</v>
      </c>
      <c r="E353" s="5" t="s">
        <v>8</v>
      </c>
      <c r="F353" s="6">
        <v>20000</v>
      </c>
      <c r="G353" s="48">
        <v>20000</v>
      </c>
      <c r="H353" s="7">
        <v>0</v>
      </c>
      <c r="I353" s="5" t="s">
        <v>160</v>
      </c>
      <c r="J353" s="3" t="s">
        <v>2</v>
      </c>
      <c r="K353" s="5" t="s">
        <v>512</v>
      </c>
    </row>
    <row r="354" spans="1:11" ht="15" thickBot="1" x14ac:dyDescent="0.35">
      <c r="A354" s="9">
        <v>45722</v>
      </c>
      <c r="B354" s="31" t="s">
        <v>513</v>
      </c>
      <c r="C354" s="46" t="s">
        <v>499</v>
      </c>
      <c r="D354" s="47" t="s">
        <v>287</v>
      </c>
      <c r="E354" s="5" t="s">
        <v>8</v>
      </c>
      <c r="F354" s="6">
        <v>20000</v>
      </c>
      <c r="G354" s="6">
        <v>1000</v>
      </c>
      <c r="H354" s="6">
        <v>19000</v>
      </c>
      <c r="I354" s="5"/>
      <c r="J354" s="5"/>
      <c r="K354" s="5"/>
    </row>
    <row r="355" spans="1:11" ht="15" thickBot="1" x14ac:dyDescent="0.35">
      <c r="A355" s="9">
        <v>45722</v>
      </c>
      <c r="B355" s="4" t="s">
        <v>514</v>
      </c>
      <c r="C355" s="46" t="s">
        <v>499</v>
      </c>
      <c r="D355" s="47" t="s">
        <v>287</v>
      </c>
      <c r="E355" s="5" t="s">
        <v>457</v>
      </c>
      <c r="F355" s="6">
        <v>20000</v>
      </c>
      <c r="G355" s="48">
        <v>20000</v>
      </c>
      <c r="H355" s="7">
        <v>0</v>
      </c>
      <c r="I355" s="5" t="s">
        <v>434</v>
      </c>
      <c r="J355" s="3" t="s">
        <v>2</v>
      </c>
      <c r="K355" s="5"/>
    </row>
    <row r="356" spans="1:11" ht="15" thickBot="1" x14ac:dyDescent="0.35">
      <c r="A356" s="9">
        <v>45753</v>
      </c>
      <c r="B356" s="4" t="s">
        <v>515</v>
      </c>
      <c r="C356" s="46" t="s">
        <v>499</v>
      </c>
      <c r="D356" s="47" t="s">
        <v>287</v>
      </c>
      <c r="E356" s="5" t="s">
        <v>457</v>
      </c>
      <c r="F356" s="6">
        <v>20000</v>
      </c>
      <c r="G356" s="48">
        <v>20000</v>
      </c>
      <c r="H356" s="7">
        <v>0</v>
      </c>
      <c r="I356" s="5" t="s">
        <v>434</v>
      </c>
      <c r="J356" s="3" t="s">
        <v>2</v>
      </c>
      <c r="K356" s="5"/>
    </row>
    <row r="357" spans="1:11" ht="15" thickBot="1" x14ac:dyDescent="0.35">
      <c r="A357" s="9">
        <v>45753</v>
      </c>
      <c r="B357" s="31" t="s">
        <v>516</v>
      </c>
      <c r="C357" s="46" t="s">
        <v>499</v>
      </c>
      <c r="D357" s="47" t="s">
        <v>287</v>
      </c>
      <c r="E357" s="5" t="s">
        <v>457</v>
      </c>
      <c r="F357" s="6">
        <v>20000</v>
      </c>
      <c r="G357" s="6">
        <v>3000</v>
      </c>
      <c r="H357" s="6">
        <v>17000</v>
      </c>
      <c r="I357" s="5"/>
      <c r="J357" s="5"/>
      <c r="K357" s="5"/>
    </row>
    <row r="358" spans="1:11" ht="15" thickBot="1" x14ac:dyDescent="0.35">
      <c r="A358" s="9">
        <v>45814</v>
      </c>
      <c r="B358" s="4" t="s">
        <v>517</v>
      </c>
      <c r="C358" s="46" t="s">
        <v>499</v>
      </c>
      <c r="D358" s="47" t="s">
        <v>287</v>
      </c>
      <c r="E358" s="5" t="s">
        <v>8</v>
      </c>
      <c r="F358" s="6">
        <v>20000</v>
      </c>
      <c r="G358" s="48">
        <v>20000</v>
      </c>
      <c r="H358" s="7">
        <v>0</v>
      </c>
      <c r="I358" s="5" t="s">
        <v>160</v>
      </c>
      <c r="J358" s="3" t="s">
        <v>2</v>
      </c>
      <c r="K358" s="5"/>
    </row>
    <row r="359" spans="1:11" ht="15" thickBot="1" x14ac:dyDescent="0.35">
      <c r="A359" s="9">
        <v>45844</v>
      </c>
      <c r="B359" s="4" t="s">
        <v>518</v>
      </c>
      <c r="C359" s="46" t="s">
        <v>499</v>
      </c>
      <c r="D359" s="47" t="s">
        <v>287</v>
      </c>
      <c r="E359" s="5" t="s">
        <v>457</v>
      </c>
      <c r="F359" s="6">
        <v>20000</v>
      </c>
      <c r="G359" s="48">
        <v>20000</v>
      </c>
      <c r="H359" s="7">
        <v>0</v>
      </c>
      <c r="I359" s="5" t="s">
        <v>160</v>
      </c>
      <c r="J359" s="3" t="s">
        <v>2</v>
      </c>
      <c r="K359" s="54">
        <v>45784</v>
      </c>
    </row>
    <row r="360" spans="1:11" ht="15" thickBot="1" x14ac:dyDescent="0.35">
      <c r="A360" s="3" t="s">
        <v>519</v>
      </c>
      <c r="B360" s="4" t="s">
        <v>520</v>
      </c>
      <c r="C360" s="46" t="s">
        <v>499</v>
      </c>
      <c r="D360" s="47" t="s">
        <v>287</v>
      </c>
      <c r="E360" s="5" t="s">
        <v>521</v>
      </c>
      <c r="F360" s="6">
        <v>20000</v>
      </c>
      <c r="G360" s="48">
        <v>20000</v>
      </c>
      <c r="H360" s="7">
        <v>0</v>
      </c>
      <c r="I360" s="5" t="s">
        <v>160</v>
      </c>
      <c r="J360" s="3" t="s">
        <v>2</v>
      </c>
      <c r="K360" s="5"/>
    </row>
    <row r="361" spans="1:11" ht="15" thickBot="1" x14ac:dyDescent="0.35">
      <c r="A361" s="9">
        <v>45875</v>
      </c>
      <c r="B361" s="4" t="s">
        <v>523</v>
      </c>
      <c r="C361" s="46" t="s">
        <v>499</v>
      </c>
      <c r="D361" s="47" t="s">
        <v>287</v>
      </c>
      <c r="E361" s="5" t="s">
        <v>521</v>
      </c>
      <c r="F361" s="6">
        <v>20000</v>
      </c>
      <c r="G361" s="48">
        <v>20000</v>
      </c>
      <c r="H361" s="7">
        <v>0</v>
      </c>
      <c r="I361" s="5" t="s">
        <v>160</v>
      </c>
      <c r="J361" s="3" t="s">
        <v>2</v>
      </c>
      <c r="K361" s="5" t="s">
        <v>524</v>
      </c>
    </row>
    <row r="362" spans="1:11" ht="15" thickBot="1" x14ac:dyDescent="0.35">
      <c r="A362" s="9">
        <v>45875</v>
      </c>
      <c r="B362" s="31" t="s">
        <v>525</v>
      </c>
      <c r="C362" s="46" t="s">
        <v>499</v>
      </c>
      <c r="D362" s="47" t="s">
        <v>287</v>
      </c>
      <c r="E362" s="5" t="s">
        <v>521</v>
      </c>
      <c r="F362" s="6">
        <v>20000</v>
      </c>
      <c r="G362" s="6">
        <v>0</v>
      </c>
      <c r="H362" s="6">
        <v>20000</v>
      </c>
      <c r="I362" s="5"/>
      <c r="J362" s="5"/>
      <c r="K362" s="5"/>
    </row>
    <row r="363" spans="1:11" ht="15" thickBot="1" x14ac:dyDescent="0.35">
      <c r="A363" s="9">
        <v>45906</v>
      </c>
      <c r="B363" s="4" t="s">
        <v>526</v>
      </c>
      <c r="C363" s="46" t="s">
        <v>499</v>
      </c>
      <c r="D363" s="47" t="s">
        <v>287</v>
      </c>
      <c r="E363" s="5" t="s">
        <v>8</v>
      </c>
      <c r="F363" s="6">
        <v>20000</v>
      </c>
      <c r="G363" s="48">
        <v>20000</v>
      </c>
      <c r="H363" s="7">
        <v>0</v>
      </c>
      <c r="I363" s="5" t="s">
        <v>160</v>
      </c>
      <c r="J363" s="3" t="s">
        <v>2</v>
      </c>
      <c r="K363" s="1" t="s">
        <v>527</v>
      </c>
    </row>
    <row r="364" spans="1:11" ht="15" thickBot="1" x14ac:dyDescent="0.35">
      <c r="A364" s="9">
        <v>45906</v>
      </c>
      <c r="B364" s="51" t="s">
        <v>528</v>
      </c>
      <c r="C364" s="46" t="s">
        <v>499</v>
      </c>
      <c r="D364" s="47" t="s">
        <v>287</v>
      </c>
      <c r="E364" s="5" t="s">
        <v>457</v>
      </c>
      <c r="F364" s="6">
        <v>20000</v>
      </c>
      <c r="G364" s="6">
        <v>20000</v>
      </c>
      <c r="H364" s="7">
        <v>0</v>
      </c>
      <c r="I364" s="5" t="s">
        <v>160</v>
      </c>
      <c r="J364" s="5"/>
      <c r="K364" s="5" t="s">
        <v>529</v>
      </c>
    </row>
    <row r="365" spans="1:11" ht="15" thickBot="1" x14ac:dyDescent="0.35">
      <c r="A365" s="9">
        <v>45906</v>
      </c>
      <c r="B365" s="31" t="s">
        <v>530</v>
      </c>
      <c r="C365" s="46" t="s">
        <v>499</v>
      </c>
      <c r="D365" s="47" t="s">
        <v>287</v>
      </c>
      <c r="E365" s="5" t="s">
        <v>457</v>
      </c>
      <c r="F365" s="6">
        <v>20000</v>
      </c>
      <c r="G365" s="6">
        <v>10000</v>
      </c>
      <c r="H365" s="6">
        <v>10000</v>
      </c>
      <c r="I365" s="5" t="s">
        <v>160</v>
      </c>
      <c r="J365" s="5"/>
      <c r="K365" s="5" t="s">
        <v>531</v>
      </c>
    </row>
    <row r="366" spans="1:11" ht="15" thickBot="1" x14ac:dyDescent="0.35">
      <c r="A366" s="9">
        <v>45906</v>
      </c>
      <c r="B366" s="4" t="s">
        <v>532</v>
      </c>
      <c r="C366" s="46" t="s">
        <v>499</v>
      </c>
      <c r="D366" s="47" t="s">
        <v>287</v>
      </c>
      <c r="E366" s="5" t="s">
        <v>457</v>
      </c>
      <c r="F366" s="6">
        <v>20000</v>
      </c>
      <c r="G366" s="6">
        <v>20000</v>
      </c>
      <c r="H366" s="7">
        <v>0</v>
      </c>
      <c r="I366" s="5" t="s">
        <v>160</v>
      </c>
      <c r="J366" s="3" t="s">
        <v>2</v>
      </c>
      <c r="K366" s="5"/>
    </row>
    <row r="367" spans="1:11" ht="15" thickBot="1" x14ac:dyDescent="0.35">
      <c r="A367" s="9">
        <v>45906</v>
      </c>
      <c r="B367" s="4" t="s">
        <v>533</v>
      </c>
      <c r="C367" s="46" t="s">
        <v>499</v>
      </c>
      <c r="D367" s="47" t="s">
        <v>287</v>
      </c>
      <c r="E367" s="5" t="s">
        <v>521</v>
      </c>
      <c r="F367" s="6">
        <v>20000</v>
      </c>
      <c r="G367" s="48">
        <v>20000</v>
      </c>
      <c r="H367" s="7">
        <v>0</v>
      </c>
      <c r="I367" s="5" t="s">
        <v>434</v>
      </c>
      <c r="J367" s="3" t="s">
        <v>2</v>
      </c>
      <c r="K367" s="5" t="s">
        <v>534</v>
      </c>
    </row>
    <row r="368" spans="1:11" ht="15" thickBot="1" x14ac:dyDescent="0.35">
      <c r="A368" s="9">
        <v>45906</v>
      </c>
      <c r="B368" s="4" t="s">
        <v>535</v>
      </c>
      <c r="C368" s="46" t="s">
        <v>499</v>
      </c>
      <c r="D368" s="47" t="s">
        <v>287</v>
      </c>
      <c r="E368" s="5" t="s">
        <v>8</v>
      </c>
      <c r="F368" s="6">
        <v>20000</v>
      </c>
      <c r="G368" s="6">
        <v>20000</v>
      </c>
      <c r="H368" s="7">
        <v>0</v>
      </c>
      <c r="I368" s="5" t="s">
        <v>160</v>
      </c>
      <c r="J368" s="3" t="s">
        <v>2</v>
      </c>
      <c r="K368" s="1" t="s">
        <v>536</v>
      </c>
    </row>
    <row r="369" spans="1:11" ht="15" thickBot="1" x14ac:dyDescent="0.35">
      <c r="A369" s="9">
        <v>45906</v>
      </c>
      <c r="B369" s="4" t="s">
        <v>537</v>
      </c>
      <c r="C369" s="46" t="s">
        <v>499</v>
      </c>
      <c r="D369" s="47" t="s">
        <v>287</v>
      </c>
      <c r="E369" s="5" t="s">
        <v>8</v>
      </c>
      <c r="F369" s="6">
        <v>20000</v>
      </c>
      <c r="G369" s="48">
        <v>20000</v>
      </c>
      <c r="H369" s="7">
        <v>0</v>
      </c>
      <c r="I369" s="5" t="s">
        <v>160</v>
      </c>
      <c r="J369" s="3" t="s">
        <v>2</v>
      </c>
      <c r="K369" s="33">
        <v>45843</v>
      </c>
    </row>
    <row r="370" spans="1:11" ht="15" thickBot="1" x14ac:dyDescent="0.35">
      <c r="A370" s="9">
        <v>45936</v>
      </c>
      <c r="B370" s="31" t="s">
        <v>538</v>
      </c>
      <c r="C370" s="46" t="s">
        <v>499</v>
      </c>
      <c r="D370" s="47" t="s">
        <v>287</v>
      </c>
      <c r="E370" s="5" t="s">
        <v>8</v>
      </c>
      <c r="F370" s="6">
        <v>20000</v>
      </c>
      <c r="G370" s="6">
        <v>10000</v>
      </c>
      <c r="H370" s="6">
        <v>10000</v>
      </c>
      <c r="I370" s="5" t="s">
        <v>160</v>
      </c>
      <c r="J370" s="5"/>
      <c r="K370" s="1" t="s">
        <v>539</v>
      </c>
    </row>
    <row r="371" spans="1:11" ht="15" thickBot="1" x14ac:dyDescent="0.35">
      <c r="A371" s="9">
        <v>45936</v>
      </c>
      <c r="B371" s="4" t="s">
        <v>540</v>
      </c>
      <c r="C371" s="46" t="s">
        <v>499</v>
      </c>
      <c r="D371" s="47" t="s">
        <v>287</v>
      </c>
      <c r="E371" s="5" t="s">
        <v>521</v>
      </c>
      <c r="F371" s="6">
        <v>20000</v>
      </c>
      <c r="G371" s="48">
        <v>20000</v>
      </c>
      <c r="H371" s="7">
        <v>0</v>
      </c>
      <c r="I371" s="5" t="s">
        <v>434</v>
      </c>
      <c r="J371" s="3" t="s">
        <v>2</v>
      </c>
      <c r="K371" s="5" t="s">
        <v>541</v>
      </c>
    </row>
    <row r="372" spans="1:11" ht="15" thickBot="1" x14ac:dyDescent="0.35">
      <c r="A372" s="9">
        <v>45936</v>
      </c>
      <c r="B372" s="4" t="s">
        <v>542</v>
      </c>
      <c r="C372" s="46" t="s">
        <v>499</v>
      </c>
      <c r="D372" s="47" t="s">
        <v>287</v>
      </c>
      <c r="E372" s="5" t="s">
        <v>457</v>
      </c>
      <c r="F372" s="6">
        <v>20000</v>
      </c>
      <c r="G372" s="6">
        <v>9000</v>
      </c>
      <c r="H372" s="6">
        <v>11000</v>
      </c>
      <c r="I372" s="5" t="s">
        <v>199</v>
      </c>
      <c r="J372" s="5"/>
      <c r="K372" s="5" t="s">
        <v>543</v>
      </c>
    </row>
    <row r="373" spans="1:11" ht="15" thickBot="1" x14ac:dyDescent="0.35">
      <c r="A373" s="9">
        <v>45936</v>
      </c>
      <c r="B373" s="4" t="s">
        <v>544</v>
      </c>
      <c r="C373" s="46" t="s">
        <v>499</v>
      </c>
      <c r="D373" s="47" t="s">
        <v>287</v>
      </c>
      <c r="E373" s="5" t="s">
        <v>521</v>
      </c>
      <c r="F373" s="6">
        <v>20000</v>
      </c>
      <c r="G373" s="48">
        <v>10000</v>
      </c>
      <c r="H373" s="6">
        <v>10000</v>
      </c>
      <c r="I373" s="5" t="s">
        <v>324</v>
      </c>
      <c r="J373" s="5"/>
      <c r="K373" s="5" t="s">
        <v>326</v>
      </c>
    </row>
    <row r="374" spans="1:11" ht="15" thickBot="1" x14ac:dyDescent="0.35">
      <c r="A374" s="9">
        <v>45936</v>
      </c>
      <c r="B374" s="4" t="s">
        <v>545</v>
      </c>
      <c r="C374" s="46" t="s">
        <v>499</v>
      </c>
      <c r="D374" s="47" t="s">
        <v>287</v>
      </c>
      <c r="E374" s="5" t="s">
        <v>457</v>
      </c>
      <c r="F374" s="6">
        <v>20000</v>
      </c>
      <c r="G374" s="6">
        <v>20000</v>
      </c>
      <c r="H374" s="7">
        <v>0</v>
      </c>
      <c r="I374" s="5" t="s">
        <v>199</v>
      </c>
      <c r="J374" s="5"/>
      <c r="K374" s="54">
        <v>45724</v>
      </c>
    </row>
    <row r="375" spans="1:11" ht="15" thickBot="1" x14ac:dyDescent="0.35">
      <c r="A375" s="9">
        <v>45967</v>
      </c>
      <c r="B375" s="4" t="s">
        <v>546</v>
      </c>
      <c r="C375" s="46" t="s">
        <v>499</v>
      </c>
      <c r="D375" s="47" t="s">
        <v>287</v>
      </c>
      <c r="E375" s="5" t="s">
        <v>521</v>
      </c>
      <c r="F375" s="6">
        <v>20000</v>
      </c>
      <c r="G375" s="6">
        <v>3000</v>
      </c>
      <c r="H375" s="6">
        <v>17000</v>
      </c>
      <c r="I375" s="5"/>
      <c r="J375" s="5"/>
      <c r="K375" s="5"/>
    </row>
    <row r="376" spans="1:11" ht="15" thickBot="1" x14ac:dyDescent="0.35">
      <c r="A376" s="9">
        <v>45967</v>
      </c>
      <c r="B376" s="4" t="s">
        <v>547</v>
      </c>
      <c r="C376" s="46" t="s">
        <v>499</v>
      </c>
      <c r="D376" s="47" t="s">
        <v>287</v>
      </c>
      <c r="E376" s="5" t="s">
        <v>457</v>
      </c>
      <c r="F376" s="6">
        <v>20000</v>
      </c>
      <c r="G376" s="6">
        <v>1500</v>
      </c>
      <c r="H376" s="6">
        <v>18500</v>
      </c>
      <c r="I376" s="5"/>
      <c r="J376" s="5"/>
      <c r="K376" s="5"/>
    </row>
    <row r="377" spans="1:11" ht="15" thickBot="1" x14ac:dyDescent="0.35">
      <c r="A377" s="9">
        <v>45967</v>
      </c>
      <c r="B377" s="31" t="s">
        <v>548</v>
      </c>
      <c r="C377" s="46" t="s">
        <v>499</v>
      </c>
      <c r="D377" s="47" t="s">
        <v>287</v>
      </c>
      <c r="E377" s="5" t="s">
        <v>521</v>
      </c>
      <c r="F377" s="6">
        <v>20000</v>
      </c>
      <c r="G377" s="48">
        <v>10000</v>
      </c>
      <c r="H377" s="6">
        <v>10000</v>
      </c>
      <c r="I377" s="5"/>
      <c r="J377" s="5"/>
      <c r="K377" s="5" t="s">
        <v>549</v>
      </c>
    </row>
    <row r="378" spans="1:11" ht="15" thickBot="1" x14ac:dyDescent="0.35">
      <c r="A378" s="9">
        <v>45967</v>
      </c>
      <c r="B378" s="4" t="s">
        <v>550</v>
      </c>
      <c r="C378" s="46" t="s">
        <v>499</v>
      </c>
      <c r="D378" s="47" t="s">
        <v>287</v>
      </c>
      <c r="E378" s="5" t="s">
        <v>521</v>
      </c>
      <c r="F378" s="6">
        <v>20000</v>
      </c>
      <c r="G378" s="48">
        <v>20000</v>
      </c>
      <c r="H378" s="7">
        <v>0</v>
      </c>
      <c r="I378" s="5" t="s">
        <v>324</v>
      </c>
      <c r="J378" s="5"/>
      <c r="K378" s="5"/>
    </row>
    <row r="379" spans="1:11" ht="15" thickBot="1" x14ac:dyDescent="0.35">
      <c r="A379" s="9">
        <v>45967</v>
      </c>
      <c r="B379" s="31" t="s">
        <v>551</v>
      </c>
      <c r="C379" s="46" t="s">
        <v>499</v>
      </c>
      <c r="D379" s="47" t="s">
        <v>287</v>
      </c>
      <c r="E379" s="5" t="s">
        <v>521</v>
      </c>
      <c r="F379" s="6">
        <v>20000</v>
      </c>
      <c r="G379" s="48">
        <v>10000</v>
      </c>
      <c r="H379" s="6">
        <v>10000</v>
      </c>
      <c r="I379" s="5" t="s">
        <v>160</v>
      </c>
      <c r="J379" s="5"/>
      <c r="K379" s="5" t="s">
        <v>512</v>
      </c>
    </row>
    <row r="380" spans="1:11" ht="15" thickBot="1" x14ac:dyDescent="0.35">
      <c r="A380" s="9">
        <v>45967</v>
      </c>
      <c r="B380" s="4" t="s">
        <v>552</v>
      </c>
      <c r="C380" s="46" t="s">
        <v>499</v>
      </c>
      <c r="D380" s="47" t="s">
        <v>287</v>
      </c>
      <c r="E380" s="5" t="s">
        <v>457</v>
      </c>
      <c r="F380" s="6">
        <v>20000</v>
      </c>
      <c r="G380" s="6">
        <v>2000</v>
      </c>
      <c r="H380" s="6">
        <v>18000</v>
      </c>
      <c r="I380" s="5"/>
      <c r="J380" s="5"/>
      <c r="K380" s="5"/>
    </row>
    <row r="381" spans="1:11" ht="15" thickBot="1" x14ac:dyDescent="0.35">
      <c r="A381" s="9">
        <v>45967</v>
      </c>
      <c r="B381" s="55" t="s">
        <v>553</v>
      </c>
      <c r="C381" s="46" t="s">
        <v>499</v>
      </c>
      <c r="D381" s="47" t="s">
        <v>287</v>
      </c>
      <c r="E381" s="5" t="s">
        <v>457</v>
      </c>
      <c r="F381" s="6">
        <v>20000</v>
      </c>
      <c r="G381" s="6">
        <v>10000</v>
      </c>
      <c r="H381" s="6">
        <v>10000</v>
      </c>
      <c r="I381" s="5" t="s">
        <v>424</v>
      </c>
      <c r="J381" s="5"/>
      <c r="K381" s="33">
        <v>45905</v>
      </c>
    </row>
    <row r="382" spans="1:11" ht="15" thickBot="1" x14ac:dyDescent="0.35">
      <c r="A382" s="9">
        <v>45997</v>
      </c>
      <c r="B382" s="4" t="s">
        <v>555</v>
      </c>
      <c r="C382" s="46" t="s">
        <v>499</v>
      </c>
      <c r="D382" s="47" t="s">
        <v>287</v>
      </c>
      <c r="E382" s="5" t="s">
        <v>521</v>
      </c>
      <c r="F382" s="6">
        <v>20000</v>
      </c>
      <c r="G382" s="48">
        <v>20000</v>
      </c>
      <c r="H382" s="7">
        <v>0</v>
      </c>
      <c r="I382" s="5" t="s">
        <v>160</v>
      </c>
      <c r="J382" s="3" t="s">
        <v>2</v>
      </c>
      <c r="K382" s="5"/>
    </row>
    <row r="383" spans="1:11" ht="15" thickBot="1" x14ac:dyDescent="0.35">
      <c r="A383" s="9">
        <v>45967</v>
      </c>
      <c r="B383" s="4" t="s">
        <v>556</v>
      </c>
      <c r="C383" s="46" t="s">
        <v>499</v>
      </c>
      <c r="D383" s="47" t="s">
        <v>287</v>
      </c>
      <c r="E383" s="5" t="s">
        <v>457</v>
      </c>
      <c r="F383" s="6">
        <v>20000</v>
      </c>
      <c r="G383" s="6">
        <v>20000</v>
      </c>
      <c r="H383" s="7">
        <v>0</v>
      </c>
      <c r="I383" s="5" t="s">
        <v>324</v>
      </c>
      <c r="J383" s="5"/>
      <c r="K383" s="54">
        <v>45785</v>
      </c>
    </row>
    <row r="384" spans="1:11" ht="15" thickBot="1" x14ac:dyDescent="0.35">
      <c r="A384" s="9">
        <v>45997</v>
      </c>
      <c r="B384" s="4" t="s">
        <v>557</v>
      </c>
      <c r="C384" s="46" t="s">
        <v>499</v>
      </c>
      <c r="D384" s="47" t="s">
        <v>287</v>
      </c>
      <c r="E384" s="5" t="s">
        <v>457</v>
      </c>
      <c r="F384" s="6">
        <v>20000</v>
      </c>
      <c r="G384" s="6">
        <v>20000</v>
      </c>
      <c r="H384" s="7">
        <v>0</v>
      </c>
      <c r="I384" s="5" t="s">
        <v>160</v>
      </c>
      <c r="J384" s="3" t="s">
        <v>2</v>
      </c>
      <c r="K384" s="5"/>
    </row>
    <row r="385" spans="1:11" ht="15" thickBot="1" x14ac:dyDescent="0.35">
      <c r="A385" s="9">
        <v>45997</v>
      </c>
      <c r="B385" s="4" t="s">
        <v>558</v>
      </c>
      <c r="C385" s="46" t="s">
        <v>499</v>
      </c>
      <c r="D385" s="47" t="s">
        <v>287</v>
      </c>
      <c r="E385" s="5" t="s">
        <v>8</v>
      </c>
      <c r="F385" s="6">
        <v>20000</v>
      </c>
      <c r="G385" s="6">
        <v>20000</v>
      </c>
      <c r="H385" s="7">
        <v>0</v>
      </c>
      <c r="I385" s="5" t="s">
        <v>160</v>
      </c>
      <c r="J385" s="3" t="s">
        <v>2</v>
      </c>
      <c r="K385" s="33">
        <v>45843</v>
      </c>
    </row>
    <row r="386" spans="1:11" ht="15" thickBot="1" x14ac:dyDescent="0.35">
      <c r="A386" s="9">
        <v>45997</v>
      </c>
      <c r="B386" s="4" t="s">
        <v>559</v>
      </c>
      <c r="C386" s="46" t="s">
        <v>499</v>
      </c>
      <c r="D386" s="47" t="s">
        <v>287</v>
      </c>
      <c r="E386" s="5" t="s">
        <v>521</v>
      </c>
      <c r="F386" s="6">
        <v>20000</v>
      </c>
      <c r="G386" s="48">
        <v>20000</v>
      </c>
      <c r="H386" s="7">
        <v>0</v>
      </c>
      <c r="I386" s="5" t="s">
        <v>160</v>
      </c>
      <c r="J386" s="3" t="s">
        <v>2</v>
      </c>
      <c r="K386" s="5"/>
    </row>
    <row r="387" spans="1:11" ht="15" thickBot="1" x14ac:dyDescent="0.35">
      <c r="A387" s="9">
        <v>45997</v>
      </c>
      <c r="B387" s="4" t="s">
        <v>560</v>
      </c>
      <c r="C387" s="46" t="s">
        <v>499</v>
      </c>
      <c r="D387" s="47" t="s">
        <v>287</v>
      </c>
      <c r="E387" s="5" t="s">
        <v>457</v>
      </c>
      <c r="F387" s="6">
        <v>20000</v>
      </c>
      <c r="G387" s="6">
        <v>20000</v>
      </c>
      <c r="H387" s="7">
        <v>0</v>
      </c>
      <c r="I387" s="5" t="s">
        <v>160</v>
      </c>
      <c r="J387" s="3" t="s">
        <v>2</v>
      </c>
      <c r="K387" s="5"/>
    </row>
    <row r="388" spans="1:11" ht="15" thickBot="1" x14ac:dyDescent="0.35">
      <c r="A388" s="9">
        <v>45997</v>
      </c>
      <c r="B388" s="4" t="s">
        <v>561</v>
      </c>
      <c r="C388" s="46" t="s">
        <v>499</v>
      </c>
      <c r="D388" s="47" t="s">
        <v>287</v>
      </c>
      <c r="E388" s="5" t="s">
        <v>521</v>
      </c>
      <c r="F388" s="6">
        <v>20000</v>
      </c>
      <c r="G388" s="6">
        <v>20000</v>
      </c>
      <c r="H388" s="7">
        <v>0</v>
      </c>
      <c r="I388" s="5" t="s">
        <v>324</v>
      </c>
      <c r="J388" s="5"/>
      <c r="K388" s="33">
        <v>45874</v>
      </c>
    </row>
    <row r="389" spans="1:11" ht="15" thickBot="1" x14ac:dyDescent="0.35">
      <c r="A389" s="9">
        <v>45997</v>
      </c>
      <c r="B389" s="31" t="s">
        <v>562</v>
      </c>
      <c r="C389" s="46" t="s">
        <v>499</v>
      </c>
      <c r="D389" s="47" t="s">
        <v>287</v>
      </c>
      <c r="E389" s="5" t="s">
        <v>457</v>
      </c>
      <c r="F389" s="6">
        <v>20000</v>
      </c>
      <c r="G389" s="6">
        <v>10000</v>
      </c>
      <c r="H389" s="6">
        <v>10000</v>
      </c>
      <c r="I389" s="5" t="s">
        <v>434</v>
      </c>
      <c r="J389" s="5"/>
      <c r="K389" s="5" t="s">
        <v>563</v>
      </c>
    </row>
    <row r="390" spans="1:11" ht="15" thickBot="1" x14ac:dyDescent="0.35">
      <c r="A390" s="9">
        <v>45997</v>
      </c>
      <c r="B390" s="4" t="s">
        <v>564</v>
      </c>
      <c r="C390" s="46" t="s">
        <v>499</v>
      </c>
      <c r="D390" s="47" t="s">
        <v>287</v>
      </c>
      <c r="E390" s="5" t="s">
        <v>521</v>
      </c>
      <c r="F390" s="6">
        <v>20000</v>
      </c>
      <c r="G390" s="48">
        <v>20000</v>
      </c>
      <c r="H390" s="7">
        <v>0</v>
      </c>
      <c r="I390" s="5" t="s">
        <v>160</v>
      </c>
      <c r="J390" s="3" t="s">
        <v>2</v>
      </c>
      <c r="K390" s="5"/>
    </row>
    <row r="391" spans="1:11" ht="15" thickBot="1" x14ac:dyDescent="0.35">
      <c r="A391" s="9">
        <v>45997</v>
      </c>
      <c r="B391" s="4" t="s">
        <v>565</v>
      </c>
      <c r="C391" s="46" t="s">
        <v>499</v>
      </c>
      <c r="D391" s="47" t="s">
        <v>287</v>
      </c>
      <c r="E391" s="5" t="s">
        <v>457</v>
      </c>
      <c r="F391" s="6">
        <v>20000</v>
      </c>
      <c r="G391" s="6">
        <v>10000</v>
      </c>
      <c r="H391" s="6">
        <v>10000</v>
      </c>
      <c r="I391" s="5" t="s">
        <v>324</v>
      </c>
      <c r="J391" s="5"/>
      <c r="K391" s="5" t="s">
        <v>420</v>
      </c>
    </row>
    <row r="392" spans="1:11" ht="15" thickBot="1" x14ac:dyDescent="0.35">
      <c r="A392" s="3" t="s">
        <v>566</v>
      </c>
      <c r="B392" s="31" t="s">
        <v>567</v>
      </c>
      <c r="C392" s="46" t="s">
        <v>499</v>
      </c>
      <c r="D392" s="47" t="s">
        <v>287</v>
      </c>
      <c r="E392" s="5" t="s">
        <v>521</v>
      </c>
      <c r="F392" s="6">
        <v>20000</v>
      </c>
      <c r="G392" s="48">
        <v>10000</v>
      </c>
      <c r="H392" s="6">
        <v>10000</v>
      </c>
      <c r="I392" s="5" t="s">
        <v>160</v>
      </c>
      <c r="J392" s="5"/>
      <c r="K392" s="5" t="s">
        <v>568</v>
      </c>
    </row>
    <row r="393" spans="1:11" ht="15" thickBot="1" x14ac:dyDescent="0.35">
      <c r="A393" s="3" t="s">
        <v>566</v>
      </c>
      <c r="B393" s="4" t="s">
        <v>569</v>
      </c>
      <c r="C393" s="46" t="s">
        <v>499</v>
      </c>
      <c r="D393" s="49" t="s">
        <v>306</v>
      </c>
      <c r="E393" s="5" t="s">
        <v>8</v>
      </c>
      <c r="F393" s="6">
        <v>20000</v>
      </c>
      <c r="G393" s="6">
        <v>10000</v>
      </c>
      <c r="H393" s="6">
        <v>10000</v>
      </c>
      <c r="I393" s="5" t="s">
        <v>199</v>
      </c>
      <c r="J393" s="5"/>
      <c r="K393" s="54">
        <v>45938</v>
      </c>
    </row>
    <row r="394" spans="1:11" ht="15" thickBot="1" x14ac:dyDescent="0.35">
      <c r="A394" s="3" t="s">
        <v>566</v>
      </c>
      <c r="B394" s="4" t="s">
        <v>570</v>
      </c>
      <c r="C394" s="46" t="s">
        <v>499</v>
      </c>
      <c r="D394" s="49" t="s">
        <v>306</v>
      </c>
      <c r="E394" s="5" t="s">
        <v>457</v>
      </c>
      <c r="F394" s="6">
        <v>20000</v>
      </c>
      <c r="G394" s="6">
        <v>20000</v>
      </c>
      <c r="H394" s="7">
        <v>0</v>
      </c>
      <c r="I394" s="5" t="s">
        <v>199</v>
      </c>
      <c r="J394" s="5"/>
      <c r="K394" s="5" t="s">
        <v>571</v>
      </c>
    </row>
    <row r="395" spans="1:11" ht="15" thickBot="1" x14ac:dyDescent="0.35">
      <c r="A395" s="3" t="s">
        <v>566</v>
      </c>
      <c r="B395" s="4" t="s">
        <v>572</v>
      </c>
      <c r="C395" s="46" t="s">
        <v>499</v>
      </c>
      <c r="D395" s="49" t="s">
        <v>306</v>
      </c>
      <c r="E395" s="5" t="s">
        <v>457</v>
      </c>
      <c r="F395" s="6">
        <v>20000</v>
      </c>
      <c r="G395" s="6">
        <v>20000</v>
      </c>
      <c r="H395" s="7">
        <v>0</v>
      </c>
      <c r="I395" s="5" t="s">
        <v>434</v>
      </c>
      <c r="J395" s="3" t="s">
        <v>2</v>
      </c>
      <c r="K395" s="5"/>
    </row>
    <row r="396" spans="1:11" ht="15" thickBot="1" x14ac:dyDescent="0.35">
      <c r="A396" s="3" t="s">
        <v>573</v>
      </c>
      <c r="B396" s="4" t="s">
        <v>574</v>
      </c>
      <c r="C396" s="46" t="s">
        <v>499</v>
      </c>
      <c r="D396" s="47" t="s">
        <v>287</v>
      </c>
      <c r="E396" s="5" t="s">
        <v>457</v>
      </c>
      <c r="F396" s="6">
        <v>20000</v>
      </c>
      <c r="G396" s="6">
        <v>2000</v>
      </c>
      <c r="H396" s="6">
        <v>18000</v>
      </c>
      <c r="I396" s="5"/>
      <c r="J396" s="5"/>
      <c r="K396" s="5"/>
    </row>
    <row r="397" spans="1:11" ht="15" thickBot="1" x14ac:dyDescent="0.35">
      <c r="A397" s="3" t="s">
        <v>573</v>
      </c>
      <c r="B397" s="4" t="s">
        <v>575</v>
      </c>
      <c r="C397" s="46" t="s">
        <v>499</v>
      </c>
      <c r="D397" s="47" t="s">
        <v>287</v>
      </c>
      <c r="E397" s="5" t="s">
        <v>457</v>
      </c>
      <c r="F397" s="6">
        <v>20000</v>
      </c>
      <c r="G397" s="6">
        <v>20000</v>
      </c>
      <c r="H397" s="7">
        <v>0</v>
      </c>
      <c r="I397" s="5" t="s">
        <v>199</v>
      </c>
      <c r="J397" s="5"/>
      <c r="K397" s="5" t="s">
        <v>326</v>
      </c>
    </row>
    <row r="398" spans="1:11" ht="15" thickBot="1" x14ac:dyDescent="0.35">
      <c r="A398" s="3" t="s">
        <v>573</v>
      </c>
      <c r="B398" s="4" t="s">
        <v>576</v>
      </c>
      <c r="C398" s="46" t="s">
        <v>499</v>
      </c>
      <c r="D398" s="49" t="s">
        <v>306</v>
      </c>
      <c r="E398" s="5" t="s">
        <v>457</v>
      </c>
      <c r="F398" s="6">
        <v>20000</v>
      </c>
      <c r="G398" s="6">
        <v>1000</v>
      </c>
      <c r="H398" s="6">
        <v>19000</v>
      </c>
      <c r="I398" s="5"/>
      <c r="J398" s="5"/>
      <c r="K398" s="5"/>
    </row>
    <row r="399" spans="1:11" ht="15" thickBot="1" x14ac:dyDescent="0.35">
      <c r="A399" s="3" t="s">
        <v>573</v>
      </c>
      <c r="B399" s="4" t="s">
        <v>577</v>
      </c>
      <c r="C399" s="46" t="s">
        <v>499</v>
      </c>
      <c r="D399" s="47" t="s">
        <v>287</v>
      </c>
      <c r="E399" s="5" t="s">
        <v>521</v>
      </c>
      <c r="F399" s="6">
        <v>20000</v>
      </c>
      <c r="G399" s="48">
        <v>20000</v>
      </c>
      <c r="H399" s="7">
        <v>0</v>
      </c>
      <c r="I399" s="5" t="s">
        <v>324</v>
      </c>
      <c r="J399" s="5"/>
      <c r="K399" s="33">
        <v>45871</v>
      </c>
    </row>
    <row r="400" spans="1:11" ht="15" thickBot="1" x14ac:dyDescent="0.35">
      <c r="A400" s="3" t="s">
        <v>522</v>
      </c>
      <c r="B400" s="4" t="s">
        <v>578</v>
      </c>
      <c r="C400" s="46" t="s">
        <v>499</v>
      </c>
      <c r="D400" s="47" t="s">
        <v>287</v>
      </c>
      <c r="E400" s="5" t="s">
        <v>457</v>
      </c>
      <c r="F400" s="6">
        <v>20000</v>
      </c>
      <c r="G400" s="6">
        <v>20000</v>
      </c>
      <c r="H400" s="7">
        <v>0</v>
      </c>
      <c r="I400" s="5" t="s">
        <v>324</v>
      </c>
      <c r="J400" s="5"/>
      <c r="K400" s="5" t="s">
        <v>326</v>
      </c>
    </row>
    <row r="401" spans="1:11" ht="15" thickBot="1" x14ac:dyDescent="0.35">
      <c r="A401" s="3" t="s">
        <v>522</v>
      </c>
      <c r="B401" s="4" t="s">
        <v>579</v>
      </c>
      <c r="C401" s="46" t="s">
        <v>499</v>
      </c>
      <c r="D401" s="47" t="s">
        <v>287</v>
      </c>
      <c r="E401" s="5" t="s">
        <v>8</v>
      </c>
      <c r="F401" s="6">
        <v>20000</v>
      </c>
      <c r="G401" s="6">
        <v>20000</v>
      </c>
      <c r="H401" s="7">
        <v>0</v>
      </c>
      <c r="I401" s="5" t="s">
        <v>160</v>
      </c>
      <c r="J401" s="3" t="s">
        <v>2</v>
      </c>
      <c r="K401" s="33">
        <v>45848</v>
      </c>
    </row>
    <row r="402" spans="1:11" ht="15" thickBot="1" x14ac:dyDescent="0.35">
      <c r="A402" s="3" t="s">
        <v>522</v>
      </c>
      <c r="B402" s="4" t="s">
        <v>580</v>
      </c>
      <c r="C402" s="46" t="s">
        <v>499</v>
      </c>
      <c r="D402" s="47" t="s">
        <v>287</v>
      </c>
      <c r="E402" s="5" t="s">
        <v>521</v>
      </c>
      <c r="F402" s="6">
        <v>20000</v>
      </c>
      <c r="G402" s="48">
        <v>10000</v>
      </c>
      <c r="H402" s="6">
        <v>10000</v>
      </c>
      <c r="I402" s="5" t="s">
        <v>199</v>
      </c>
      <c r="J402" s="5"/>
      <c r="K402" s="5" t="s">
        <v>582</v>
      </c>
    </row>
    <row r="403" spans="1:11" ht="15" thickBot="1" x14ac:dyDescent="0.35">
      <c r="A403" s="3" t="s">
        <v>583</v>
      </c>
      <c r="B403" s="4" t="s">
        <v>584</v>
      </c>
      <c r="C403" s="46" t="s">
        <v>499</v>
      </c>
      <c r="D403" s="47" t="s">
        <v>287</v>
      </c>
      <c r="E403" s="5" t="s">
        <v>521</v>
      </c>
      <c r="F403" s="6">
        <v>20000</v>
      </c>
      <c r="G403" s="48">
        <v>20000</v>
      </c>
      <c r="H403" s="7">
        <v>0</v>
      </c>
      <c r="I403" s="5" t="s">
        <v>324</v>
      </c>
      <c r="J403" s="5"/>
      <c r="K403" s="5"/>
    </row>
    <row r="404" spans="1:11" ht="15" thickBot="1" x14ac:dyDescent="0.35">
      <c r="A404" s="3" t="s">
        <v>583</v>
      </c>
      <c r="B404" s="4" t="s">
        <v>585</v>
      </c>
      <c r="C404" s="46" t="s">
        <v>499</v>
      </c>
      <c r="D404" s="47" t="s">
        <v>287</v>
      </c>
      <c r="E404" s="5" t="s">
        <v>8</v>
      </c>
      <c r="F404" s="6">
        <v>20000</v>
      </c>
      <c r="G404" s="6">
        <v>1000</v>
      </c>
      <c r="H404" s="6">
        <v>19000</v>
      </c>
      <c r="I404" s="5"/>
      <c r="J404" s="5"/>
      <c r="K404" s="5"/>
    </row>
    <row r="405" spans="1:11" ht="15" thickBot="1" x14ac:dyDescent="0.35">
      <c r="A405" s="3" t="s">
        <v>586</v>
      </c>
      <c r="B405" s="4" t="s">
        <v>587</v>
      </c>
      <c r="C405" s="46" t="s">
        <v>499</v>
      </c>
      <c r="D405" s="47" t="s">
        <v>287</v>
      </c>
      <c r="E405" s="5" t="s">
        <v>457</v>
      </c>
      <c r="F405" s="6">
        <v>20000</v>
      </c>
      <c r="G405" s="6">
        <v>20000</v>
      </c>
      <c r="H405" s="7">
        <v>0</v>
      </c>
      <c r="I405" s="5" t="s">
        <v>324</v>
      </c>
      <c r="J405" s="5"/>
      <c r="K405" s="54">
        <v>45785</v>
      </c>
    </row>
    <row r="406" spans="1:11" ht="15" thickBot="1" x14ac:dyDescent="0.35">
      <c r="A406" s="3" t="s">
        <v>588</v>
      </c>
      <c r="B406" s="4" t="s">
        <v>589</v>
      </c>
      <c r="C406" s="46" t="s">
        <v>499</v>
      </c>
      <c r="D406" s="47" t="s">
        <v>287</v>
      </c>
      <c r="E406" s="5" t="s">
        <v>521</v>
      </c>
      <c r="F406" s="6">
        <v>20000</v>
      </c>
      <c r="G406" s="48">
        <v>20000</v>
      </c>
      <c r="H406" s="7">
        <v>0</v>
      </c>
      <c r="I406" s="5" t="s">
        <v>324</v>
      </c>
      <c r="J406" s="5"/>
      <c r="K406" s="5"/>
    </row>
    <row r="407" spans="1:11" ht="15" thickBot="1" x14ac:dyDescent="0.35">
      <c r="A407" s="3" t="s">
        <v>590</v>
      </c>
      <c r="B407" s="4" t="s">
        <v>591</v>
      </c>
      <c r="C407" s="46" t="s">
        <v>499</v>
      </c>
      <c r="D407" s="49" t="s">
        <v>306</v>
      </c>
      <c r="E407" s="5" t="s">
        <v>521</v>
      </c>
      <c r="F407" s="6">
        <v>20000</v>
      </c>
      <c r="G407" s="6">
        <v>1000</v>
      </c>
      <c r="H407" s="6">
        <v>19000</v>
      </c>
      <c r="I407" s="5"/>
      <c r="J407" s="5"/>
      <c r="K407" s="5"/>
    </row>
    <row r="408" spans="1:11" ht="15" thickBot="1" x14ac:dyDescent="0.35">
      <c r="A408" s="3" t="s">
        <v>200</v>
      </c>
      <c r="B408" s="4" t="s">
        <v>592</v>
      </c>
      <c r="C408" s="46" t="s">
        <v>499</v>
      </c>
      <c r="D408" s="47" t="s">
        <v>287</v>
      </c>
      <c r="E408" s="5" t="s">
        <v>8</v>
      </c>
      <c r="F408" s="6">
        <v>20000</v>
      </c>
      <c r="G408" s="6">
        <v>20000</v>
      </c>
      <c r="H408" s="7">
        <v>0</v>
      </c>
      <c r="I408" s="5" t="s">
        <v>324</v>
      </c>
      <c r="J408" s="5"/>
      <c r="K408" s="54">
        <v>45785</v>
      </c>
    </row>
    <row r="409" spans="1:11" ht="15" thickBot="1" x14ac:dyDescent="0.35">
      <c r="A409" s="3" t="s">
        <v>200</v>
      </c>
      <c r="B409" s="4" t="s">
        <v>593</v>
      </c>
      <c r="C409" s="46" t="s">
        <v>499</v>
      </c>
      <c r="D409" s="47" t="s">
        <v>287</v>
      </c>
      <c r="E409" s="5" t="s">
        <v>457</v>
      </c>
      <c r="F409" s="6">
        <v>20000</v>
      </c>
      <c r="G409" s="6">
        <v>20000</v>
      </c>
      <c r="H409" s="7">
        <v>0</v>
      </c>
      <c r="I409" s="5" t="s">
        <v>324</v>
      </c>
      <c r="J409" s="5"/>
      <c r="K409" s="5" t="s">
        <v>594</v>
      </c>
    </row>
    <row r="410" spans="1:11" ht="15" thickBot="1" x14ac:dyDescent="0.35">
      <c r="A410" s="3" t="s">
        <v>595</v>
      </c>
      <c r="B410" s="4" t="s">
        <v>596</v>
      </c>
      <c r="C410" s="46" t="s">
        <v>499</v>
      </c>
      <c r="D410" s="47" t="s">
        <v>287</v>
      </c>
      <c r="E410" s="5" t="s">
        <v>521</v>
      </c>
      <c r="F410" s="6">
        <v>20000</v>
      </c>
      <c r="G410" s="48">
        <v>20000</v>
      </c>
      <c r="H410" s="7">
        <v>0</v>
      </c>
      <c r="I410" s="5" t="s">
        <v>199</v>
      </c>
      <c r="J410" s="3" t="s">
        <v>2</v>
      </c>
      <c r="K410" s="5"/>
    </row>
    <row r="411" spans="1:11" ht="15" thickBot="1" x14ac:dyDescent="0.35">
      <c r="A411" s="3" t="s">
        <v>597</v>
      </c>
      <c r="B411" s="4" t="s">
        <v>598</v>
      </c>
      <c r="C411" s="46" t="s">
        <v>499</v>
      </c>
      <c r="D411" s="47" t="s">
        <v>287</v>
      </c>
      <c r="E411" s="5" t="s">
        <v>521</v>
      </c>
      <c r="F411" s="6">
        <v>20000</v>
      </c>
      <c r="G411" s="6">
        <v>20000</v>
      </c>
      <c r="H411" s="7">
        <v>0</v>
      </c>
      <c r="I411" s="5" t="s">
        <v>324</v>
      </c>
      <c r="J411" s="5"/>
      <c r="K411" s="33">
        <v>45879</v>
      </c>
    </row>
    <row r="412" spans="1:11" ht="15" thickBot="1" x14ac:dyDescent="0.35">
      <c r="A412" s="3" t="s">
        <v>597</v>
      </c>
      <c r="B412" s="4" t="s">
        <v>599</v>
      </c>
      <c r="C412" s="46" t="s">
        <v>499</v>
      </c>
      <c r="D412" s="49" t="s">
        <v>306</v>
      </c>
      <c r="E412" s="5" t="s">
        <v>521</v>
      </c>
      <c r="F412" s="6">
        <v>20000</v>
      </c>
      <c r="G412" s="6">
        <v>20000</v>
      </c>
      <c r="H412" s="7">
        <v>0</v>
      </c>
      <c r="I412" s="5" t="s">
        <v>199</v>
      </c>
      <c r="J412" s="5"/>
      <c r="K412" s="5" t="s">
        <v>600</v>
      </c>
    </row>
    <row r="413" spans="1:11" ht="15" thickBot="1" x14ac:dyDescent="0.35">
      <c r="A413" s="3" t="s">
        <v>597</v>
      </c>
      <c r="B413" s="4" t="s">
        <v>601</v>
      </c>
      <c r="C413" s="46" t="s">
        <v>499</v>
      </c>
      <c r="D413" s="47" t="s">
        <v>287</v>
      </c>
      <c r="E413" s="5" t="s">
        <v>8</v>
      </c>
      <c r="F413" s="6">
        <v>20000</v>
      </c>
      <c r="G413" s="6">
        <v>20000</v>
      </c>
      <c r="H413" s="7">
        <v>0</v>
      </c>
      <c r="I413" s="5" t="s">
        <v>324</v>
      </c>
      <c r="J413" s="3" t="s">
        <v>2</v>
      </c>
      <c r="K413" s="5"/>
    </row>
    <row r="414" spans="1:11" ht="15" thickBot="1" x14ac:dyDescent="0.35">
      <c r="A414" s="3" t="s">
        <v>597</v>
      </c>
      <c r="B414" s="4" t="s">
        <v>602</v>
      </c>
      <c r="C414" s="46" t="s">
        <v>499</v>
      </c>
      <c r="D414" s="47" t="s">
        <v>287</v>
      </c>
      <c r="E414" s="5" t="s">
        <v>8</v>
      </c>
      <c r="F414" s="6">
        <v>20000</v>
      </c>
      <c r="G414" s="6">
        <v>20000</v>
      </c>
      <c r="H414" s="7">
        <v>0</v>
      </c>
      <c r="I414" s="5" t="s">
        <v>324</v>
      </c>
      <c r="J414" s="5"/>
      <c r="K414" s="54">
        <v>45785</v>
      </c>
    </row>
    <row r="415" spans="1:11" ht="15" thickBot="1" x14ac:dyDescent="0.35">
      <c r="A415" s="3" t="s">
        <v>597</v>
      </c>
      <c r="B415" s="4" t="s">
        <v>603</v>
      </c>
      <c r="C415" s="46" t="s">
        <v>499</v>
      </c>
      <c r="D415" s="49" t="s">
        <v>306</v>
      </c>
      <c r="E415" s="5" t="s">
        <v>8</v>
      </c>
      <c r="F415" s="6">
        <v>20000</v>
      </c>
      <c r="G415" s="6">
        <v>20000</v>
      </c>
      <c r="H415" s="7">
        <v>0</v>
      </c>
      <c r="I415" s="5" t="s">
        <v>199</v>
      </c>
      <c r="J415" s="5"/>
      <c r="K415" s="54">
        <v>45785</v>
      </c>
    </row>
    <row r="416" spans="1:11" ht="15" thickBot="1" x14ac:dyDescent="0.35">
      <c r="A416" s="3" t="s">
        <v>597</v>
      </c>
      <c r="B416" s="4" t="s">
        <v>604</v>
      </c>
      <c r="C416" s="46" t="s">
        <v>499</v>
      </c>
      <c r="D416" s="43" t="s">
        <v>605</v>
      </c>
      <c r="E416" s="5"/>
      <c r="F416" s="6">
        <v>17700</v>
      </c>
      <c r="G416" s="6">
        <v>17700</v>
      </c>
      <c r="H416" s="7">
        <v>0</v>
      </c>
      <c r="I416" s="5" t="s">
        <v>606</v>
      </c>
      <c r="J416" s="3" t="s">
        <v>61</v>
      </c>
      <c r="K416" s="5"/>
    </row>
    <row r="417" spans="1:11" ht="15" thickBot="1" x14ac:dyDescent="0.35">
      <c r="A417" s="3" t="s">
        <v>607</v>
      </c>
      <c r="B417" s="4" t="s">
        <v>608</v>
      </c>
      <c r="C417" s="46" t="s">
        <v>499</v>
      </c>
      <c r="D417" s="47" t="s">
        <v>287</v>
      </c>
      <c r="E417" s="5" t="s">
        <v>521</v>
      </c>
      <c r="F417" s="6">
        <v>20000</v>
      </c>
      <c r="G417" s="48">
        <v>20000</v>
      </c>
      <c r="H417" s="7">
        <v>0</v>
      </c>
      <c r="I417" s="5" t="s">
        <v>199</v>
      </c>
      <c r="J417" s="5"/>
      <c r="K417" s="5"/>
    </row>
    <row r="418" spans="1:11" ht="15" thickBot="1" x14ac:dyDescent="0.35">
      <c r="A418" s="3" t="s">
        <v>609</v>
      </c>
      <c r="B418" s="4" t="s">
        <v>610</v>
      </c>
      <c r="C418" s="46" t="s">
        <v>499</v>
      </c>
      <c r="D418" s="47" t="s">
        <v>287</v>
      </c>
      <c r="E418" s="5" t="s">
        <v>457</v>
      </c>
      <c r="F418" s="6">
        <v>20000</v>
      </c>
      <c r="G418" s="6">
        <v>20000</v>
      </c>
      <c r="H418" s="7">
        <v>0</v>
      </c>
      <c r="I418" s="5" t="s">
        <v>324</v>
      </c>
      <c r="J418" s="5"/>
      <c r="K418" s="5"/>
    </row>
    <row r="419" spans="1:11" ht="15" thickBot="1" x14ac:dyDescent="0.35">
      <c r="A419" s="3" t="s">
        <v>609</v>
      </c>
      <c r="B419" s="5" t="s">
        <v>611</v>
      </c>
      <c r="C419" s="46" t="s">
        <v>499</v>
      </c>
      <c r="D419" s="47" t="s">
        <v>287</v>
      </c>
      <c r="E419" s="5" t="s">
        <v>8</v>
      </c>
      <c r="F419" s="6">
        <v>20000</v>
      </c>
      <c r="G419" s="6">
        <v>20000</v>
      </c>
      <c r="H419" s="7">
        <v>0</v>
      </c>
      <c r="I419" s="5" t="s">
        <v>324</v>
      </c>
      <c r="J419" s="5"/>
      <c r="K419" s="5" t="s">
        <v>612</v>
      </c>
    </row>
    <row r="420" spans="1:11" ht="15" thickBot="1" x14ac:dyDescent="0.35">
      <c r="A420" s="3" t="s">
        <v>581</v>
      </c>
      <c r="B420" s="5" t="s">
        <v>613</v>
      </c>
      <c r="C420" s="46" t="s">
        <v>499</v>
      </c>
      <c r="D420" s="47" t="s">
        <v>287</v>
      </c>
      <c r="E420" s="5" t="s">
        <v>8</v>
      </c>
      <c r="F420" s="6">
        <v>20000</v>
      </c>
      <c r="G420" s="6">
        <v>20000</v>
      </c>
      <c r="H420" s="7">
        <v>0</v>
      </c>
      <c r="I420" s="5" t="s">
        <v>324</v>
      </c>
      <c r="J420" s="5"/>
      <c r="K420" s="54">
        <v>45816</v>
      </c>
    </row>
    <row r="421" spans="1:11" ht="15" thickBot="1" x14ac:dyDescent="0.35">
      <c r="A421" s="3" t="s">
        <v>581</v>
      </c>
      <c r="B421" s="5" t="s">
        <v>614</v>
      </c>
      <c r="C421" s="46" t="s">
        <v>499</v>
      </c>
      <c r="D421" s="49" t="s">
        <v>306</v>
      </c>
      <c r="E421" s="5" t="s">
        <v>8</v>
      </c>
      <c r="F421" s="6">
        <v>20000</v>
      </c>
      <c r="G421" s="6">
        <v>1000</v>
      </c>
      <c r="H421" s="6">
        <v>19000</v>
      </c>
      <c r="I421" s="5"/>
      <c r="J421" s="5"/>
      <c r="K421" s="5"/>
    </row>
    <row r="422" spans="1:11" ht="15" thickBot="1" x14ac:dyDescent="0.35">
      <c r="A422" s="3" t="s">
        <v>581</v>
      </c>
      <c r="B422" s="5" t="s">
        <v>615</v>
      </c>
      <c r="C422" s="46" t="s">
        <v>499</v>
      </c>
      <c r="D422" s="49" t="s">
        <v>306</v>
      </c>
      <c r="E422" s="5" t="s">
        <v>521</v>
      </c>
      <c r="F422" s="6">
        <v>20000</v>
      </c>
      <c r="G422" s="6">
        <v>20000</v>
      </c>
      <c r="H422" s="7">
        <v>0</v>
      </c>
      <c r="I422" s="5" t="s">
        <v>616</v>
      </c>
      <c r="J422" s="5"/>
      <c r="K422" s="5"/>
    </row>
    <row r="423" spans="1:11" ht="15" thickBot="1" x14ac:dyDescent="0.35">
      <c r="A423" s="3" t="s">
        <v>617</v>
      </c>
      <c r="B423" s="5" t="s">
        <v>618</v>
      </c>
      <c r="C423" s="46" t="s">
        <v>499</v>
      </c>
      <c r="D423" s="47" t="s">
        <v>287</v>
      </c>
      <c r="E423" s="5" t="s">
        <v>457</v>
      </c>
      <c r="F423" s="6">
        <v>20000</v>
      </c>
      <c r="G423" s="6">
        <v>10000</v>
      </c>
      <c r="H423" s="6">
        <v>10000</v>
      </c>
      <c r="I423" s="5" t="s">
        <v>324</v>
      </c>
      <c r="J423" s="5"/>
      <c r="K423" s="5" t="s">
        <v>326</v>
      </c>
    </row>
    <row r="424" spans="1:11" ht="15" thickBot="1" x14ac:dyDescent="0.35">
      <c r="A424" s="3" t="s">
        <v>617</v>
      </c>
      <c r="B424" s="5" t="s">
        <v>619</v>
      </c>
      <c r="C424" s="46" t="s">
        <v>499</v>
      </c>
      <c r="D424" s="47" t="s">
        <v>287</v>
      </c>
      <c r="E424" s="5" t="s">
        <v>8</v>
      </c>
      <c r="F424" s="6">
        <v>20000</v>
      </c>
      <c r="G424" s="6">
        <v>20000</v>
      </c>
      <c r="H424" s="7">
        <v>0</v>
      </c>
      <c r="I424" s="5" t="s">
        <v>324</v>
      </c>
      <c r="J424" s="5"/>
      <c r="K424" s="5" t="s">
        <v>326</v>
      </c>
    </row>
    <row r="425" spans="1:11" ht="15" thickBot="1" x14ac:dyDescent="0.35">
      <c r="A425" s="3" t="s">
        <v>620</v>
      </c>
      <c r="B425" s="5" t="s">
        <v>621</v>
      </c>
      <c r="C425" s="46" t="s">
        <v>499</v>
      </c>
      <c r="D425" s="47" t="s">
        <v>287</v>
      </c>
      <c r="E425" s="5" t="s">
        <v>457</v>
      </c>
      <c r="F425" s="6">
        <v>20000</v>
      </c>
      <c r="G425" s="6">
        <v>1000</v>
      </c>
      <c r="H425" s="6">
        <v>19000</v>
      </c>
      <c r="I425" s="5"/>
      <c r="J425" s="5"/>
      <c r="K425" s="5"/>
    </row>
    <row r="426" spans="1:11" ht="15" thickBot="1" x14ac:dyDescent="0.35">
      <c r="A426" s="3" t="s">
        <v>620</v>
      </c>
      <c r="B426" s="5" t="s">
        <v>622</v>
      </c>
      <c r="C426" s="46" t="s">
        <v>499</v>
      </c>
      <c r="D426" s="47" t="s">
        <v>287</v>
      </c>
      <c r="E426" s="5" t="s">
        <v>521</v>
      </c>
      <c r="F426" s="6">
        <v>20000</v>
      </c>
      <c r="G426" s="6">
        <v>5000</v>
      </c>
      <c r="H426" s="6">
        <v>15000</v>
      </c>
      <c r="I426" s="5" t="s">
        <v>324</v>
      </c>
      <c r="J426" s="5"/>
      <c r="K426" s="5" t="s">
        <v>623</v>
      </c>
    </row>
    <row r="427" spans="1:11" ht="15" thickBot="1" x14ac:dyDescent="0.35">
      <c r="A427" s="3" t="s">
        <v>620</v>
      </c>
      <c r="B427" s="5" t="s">
        <v>624</v>
      </c>
      <c r="C427" s="46" t="s">
        <v>499</v>
      </c>
      <c r="D427" s="49" t="s">
        <v>306</v>
      </c>
      <c r="E427" s="5" t="s">
        <v>457</v>
      </c>
      <c r="F427" s="6">
        <v>20000</v>
      </c>
      <c r="G427" s="6">
        <v>20000</v>
      </c>
      <c r="H427" s="7">
        <v>0</v>
      </c>
      <c r="I427" s="5" t="s">
        <v>616</v>
      </c>
      <c r="J427" s="5"/>
      <c r="K427" s="5"/>
    </row>
    <row r="428" spans="1:11" ht="15" thickBot="1" x14ac:dyDescent="0.35">
      <c r="A428" s="3" t="s">
        <v>625</v>
      </c>
      <c r="B428" s="5" t="s">
        <v>626</v>
      </c>
      <c r="C428" s="46" t="s">
        <v>499</v>
      </c>
      <c r="D428" s="49" t="s">
        <v>306</v>
      </c>
      <c r="E428" s="5" t="s">
        <v>8</v>
      </c>
      <c r="F428" s="6">
        <v>20000</v>
      </c>
      <c r="G428" s="6">
        <v>2000</v>
      </c>
      <c r="H428" s="6">
        <v>18000</v>
      </c>
      <c r="I428" s="5"/>
      <c r="J428" s="5"/>
      <c r="K428" s="5"/>
    </row>
    <row r="429" spans="1:11" ht="15" thickBot="1" x14ac:dyDescent="0.35">
      <c r="A429" s="3" t="s">
        <v>627</v>
      </c>
      <c r="B429" s="5" t="s">
        <v>628</v>
      </c>
      <c r="C429" s="46" t="s">
        <v>499</v>
      </c>
      <c r="D429" s="47" t="s">
        <v>287</v>
      </c>
      <c r="E429" s="5" t="s">
        <v>8</v>
      </c>
      <c r="F429" s="6">
        <v>20000</v>
      </c>
      <c r="G429" s="6">
        <v>20000</v>
      </c>
      <c r="H429" s="7">
        <v>0</v>
      </c>
      <c r="I429" s="5" t="s">
        <v>324</v>
      </c>
      <c r="J429" s="5"/>
      <c r="K429" s="5" t="s">
        <v>612</v>
      </c>
    </row>
    <row r="430" spans="1:11" ht="15" thickBot="1" x14ac:dyDescent="0.35">
      <c r="A430" s="3" t="s">
        <v>627</v>
      </c>
      <c r="B430" s="5" t="s">
        <v>629</v>
      </c>
      <c r="C430" s="46" t="s">
        <v>499</v>
      </c>
      <c r="D430" s="47" t="s">
        <v>287</v>
      </c>
      <c r="E430" s="5" t="s">
        <v>457</v>
      </c>
      <c r="F430" s="6">
        <v>20000</v>
      </c>
      <c r="G430" s="6">
        <v>20000</v>
      </c>
      <c r="H430" s="7">
        <v>0</v>
      </c>
      <c r="I430" s="5" t="s">
        <v>324</v>
      </c>
      <c r="J430" s="5"/>
      <c r="K430" s="54">
        <v>45846</v>
      </c>
    </row>
    <row r="431" spans="1:11" ht="15" thickBot="1" x14ac:dyDescent="0.35">
      <c r="A431" s="3" t="s">
        <v>630</v>
      </c>
      <c r="B431" s="5" t="s">
        <v>631</v>
      </c>
      <c r="C431" s="46" t="s">
        <v>499</v>
      </c>
      <c r="D431" s="47" t="s">
        <v>287</v>
      </c>
      <c r="E431" s="5" t="s">
        <v>8</v>
      </c>
      <c r="F431" s="6">
        <v>20000</v>
      </c>
      <c r="G431" s="6">
        <v>10000</v>
      </c>
      <c r="H431" s="6">
        <v>10000</v>
      </c>
      <c r="I431" s="5" t="s">
        <v>424</v>
      </c>
      <c r="J431" s="5"/>
      <c r="K431" s="5" t="s">
        <v>632</v>
      </c>
    </row>
    <row r="432" spans="1:11" ht="15" thickBot="1" x14ac:dyDescent="0.35">
      <c r="A432" s="3" t="s">
        <v>630</v>
      </c>
      <c r="B432" s="5" t="s">
        <v>633</v>
      </c>
      <c r="C432" s="46" t="s">
        <v>499</v>
      </c>
      <c r="D432" s="47" t="s">
        <v>287</v>
      </c>
      <c r="E432" s="5" t="s">
        <v>8</v>
      </c>
      <c r="F432" s="6">
        <v>20000</v>
      </c>
      <c r="G432" s="6">
        <v>20000</v>
      </c>
      <c r="H432" s="7">
        <v>0</v>
      </c>
      <c r="I432" s="5" t="s">
        <v>199</v>
      </c>
      <c r="J432" s="5"/>
      <c r="K432" s="5" t="s">
        <v>634</v>
      </c>
    </row>
    <row r="433" spans="1:11" ht="15" thickBot="1" x14ac:dyDescent="0.35">
      <c r="A433" s="9">
        <v>45664</v>
      </c>
      <c r="B433" s="5" t="s">
        <v>635</v>
      </c>
      <c r="C433" s="5" t="s">
        <v>636</v>
      </c>
      <c r="D433" s="47" t="s">
        <v>287</v>
      </c>
      <c r="E433" s="5" t="s">
        <v>521</v>
      </c>
      <c r="F433" s="6">
        <v>20000</v>
      </c>
      <c r="G433" s="6">
        <v>1000</v>
      </c>
      <c r="H433" s="6">
        <v>19000</v>
      </c>
      <c r="I433" s="5"/>
      <c r="J433" s="5"/>
      <c r="K433" s="5"/>
    </row>
    <row r="434" spans="1:11" ht="15" thickBot="1" x14ac:dyDescent="0.35">
      <c r="A434" s="9">
        <v>45664</v>
      </c>
      <c r="B434" s="5" t="s">
        <v>637</v>
      </c>
      <c r="C434" s="5" t="s">
        <v>636</v>
      </c>
      <c r="D434" s="47" t="s">
        <v>287</v>
      </c>
      <c r="E434" s="5" t="s">
        <v>521</v>
      </c>
      <c r="F434" s="6">
        <v>20000</v>
      </c>
      <c r="G434" s="6">
        <v>20000</v>
      </c>
      <c r="H434" s="7">
        <v>0</v>
      </c>
      <c r="I434" s="5" t="s">
        <v>324</v>
      </c>
      <c r="J434" s="5"/>
      <c r="K434" s="33">
        <v>45879</v>
      </c>
    </row>
    <row r="435" spans="1:11" ht="15" thickBot="1" x14ac:dyDescent="0.35">
      <c r="A435" s="9">
        <v>45695</v>
      </c>
      <c r="B435" s="5" t="s">
        <v>638</v>
      </c>
      <c r="C435" s="5" t="s">
        <v>636</v>
      </c>
      <c r="D435" s="47" t="s">
        <v>287</v>
      </c>
      <c r="E435" s="5" t="s">
        <v>8</v>
      </c>
      <c r="F435" s="6">
        <v>20000</v>
      </c>
      <c r="G435" s="6">
        <v>3000</v>
      </c>
      <c r="H435" s="6">
        <v>17000</v>
      </c>
      <c r="I435" s="5"/>
      <c r="J435" s="5"/>
      <c r="K435" s="5"/>
    </row>
    <row r="436" spans="1:11" ht="15" thickBot="1" x14ac:dyDescent="0.35">
      <c r="A436" s="9">
        <v>45723</v>
      </c>
      <c r="B436" s="5" t="s">
        <v>639</v>
      </c>
      <c r="C436" s="5" t="s">
        <v>636</v>
      </c>
      <c r="D436" s="47" t="s">
        <v>287</v>
      </c>
      <c r="E436" s="5" t="s">
        <v>521</v>
      </c>
      <c r="F436" s="6">
        <v>20000</v>
      </c>
      <c r="G436" s="6">
        <v>20000</v>
      </c>
      <c r="H436" s="7">
        <v>0</v>
      </c>
      <c r="I436" s="5" t="s">
        <v>199</v>
      </c>
      <c r="J436" s="5"/>
      <c r="K436" s="5"/>
    </row>
    <row r="437" spans="1:11" ht="15" thickBot="1" x14ac:dyDescent="0.35">
      <c r="A437" s="9">
        <v>45723</v>
      </c>
      <c r="B437" s="5" t="s">
        <v>640</v>
      </c>
      <c r="C437" s="5" t="s">
        <v>636</v>
      </c>
      <c r="D437" s="49" t="s">
        <v>306</v>
      </c>
      <c r="E437" s="5" t="s">
        <v>457</v>
      </c>
      <c r="F437" s="6">
        <v>20000</v>
      </c>
      <c r="G437" s="6">
        <v>1000</v>
      </c>
      <c r="H437" s="6">
        <v>19000</v>
      </c>
      <c r="I437" s="5"/>
      <c r="J437" s="5"/>
      <c r="K437" s="5"/>
    </row>
    <row r="438" spans="1:11" ht="15" thickBot="1" x14ac:dyDescent="0.35">
      <c r="A438" s="9">
        <v>45754</v>
      </c>
      <c r="B438" s="5" t="s">
        <v>641</v>
      </c>
      <c r="C438" s="5" t="s">
        <v>636</v>
      </c>
      <c r="D438" s="47" t="s">
        <v>287</v>
      </c>
      <c r="E438" s="5" t="s">
        <v>8</v>
      </c>
      <c r="F438" s="6">
        <v>20000</v>
      </c>
      <c r="G438" s="6">
        <v>20000</v>
      </c>
      <c r="H438" s="7">
        <v>0</v>
      </c>
      <c r="I438" s="5" t="s">
        <v>324</v>
      </c>
      <c r="J438" s="5"/>
      <c r="K438" s="54">
        <v>45877</v>
      </c>
    </row>
    <row r="439" spans="1:11" ht="15" thickBot="1" x14ac:dyDescent="0.35">
      <c r="A439" s="9">
        <v>45754</v>
      </c>
      <c r="B439" s="5" t="s">
        <v>642</v>
      </c>
      <c r="C439" s="5" t="s">
        <v>636</v>
      </c>
      <c r="D439" s="47" t="s">
        <v>287</v>
      </c>
      <c r="E439" s="5" t="s">
        <v>8</v>
      </c>
      <c r="F439" s="6">
        <v>20000</v>
      </c>
      <c r="G439" s="6">
        <v>20000</v>
      </c>
      <c r="H439" s="7">
        <v>0</v>
      </c>
      <c r="I439" s="5" t="s">
        <v>324</v>
      </c>
      <c r="J439" s="5"/>
      <c r="K439" s="5" t="s">
        <v>326</v>
      </c>
    </row>
    <row r="440" spans="1:11" ht="15" thickBot="1" x14ac:dyDescent="0.35">
      <c r="A440" s="9">
        <v>45754</v>
      </c>
      <c r="B440" s="5" t="s">
        <v>643</v>
      </c>
      <c r="C440" s="5" t="s">
        <v>636</v>
      </c>
      <c r="D440" s="47" t="s">
        <v>287</v>
      </c>
      <c r="E440" s="5" t="s">
        <v>8</v>
      </c>
      <c r="F440" s="6">
        <v>20000</v>
      </c>
      <c r="G440" s="6">
        <v>20000</v>
      </c>
      <c r="H440" s="7">
        <v>0</v>
      </c>
      <c r="I440" s="5" t="s">
        <v>324</v>
      </c>
      <c r="J440" s="5"/>
      <c r="K440" s="54">
        <v>45785</v>
      </c>
    </row>
    <row r="441" spans="1:11" ht="15" thickBot="1" x14ac:dyDescent="0.35">
      <c r="A441" s="9">
        <v>45784</v>
      </c>
      <c r="B441" s="5" t="s">
        <v>644</v>
      </c>
      <c r="C441" s="5" t="s">
        <v>636</v>
      </c>
      <c r="D441" s="47" t="s">
        <v>287</v>
      </c>
      <c r="E441" s="5" t="s">
        <v>8</v>
      </c>
      <c r="F441" s="6">
        <v>20000</v>
      </c>
      <c r="G441" s="6">
        <v>20000</v>
      </c>
      <c r="H441" s="7">
        <v>0</v>
      </c>
      <c r="I441" s="5" t="s">
        <v>324</v>
      </c>
      <c r="J441" s="5"/>
      <c r="K441" s="5"/>
    </row>
    <row r="442" spans="1:11" ht="15" thickBot="1" x14ac:dyDescent="0.35">
      <c r="A442" s="9">
        <v>45784</v>
      </c>
      <c r="B442" s="5" t="s">
        <v>645</v>
      </c>
      <c r="C442" s="5" t="s">
        <v>636</v>
      </c>
      <c r="D442" s="47" t="s">
        <v>287</v>
      </c>
      <c r="E442" s="5" t="s">
        <v>521</v>
      </c>
      <c r="F442" s="6">
        <v>20000</v>
      </c>
      <c r="G442" s="6">
        <v>2000</v>
      </c>
      <c r="H442" s="6">
        <v>18000</v>
      </c>
      <c r="I442" s="5"/>
      <c r="J442" s="5"/>
      <c r="K442" s="5"/>
    </row>
    <row r="443" spans="1:11" ht="15" thickBot="1" x14ac:dyDescent="0.35">
      <c r="A443" s="9">
        <v>45784</v>
      </c>
      <c r="B443" s="5" t="s">
        <v>646</v>
      </c>
      <c r="C443" s="5" t="s">
        <v>636</v>
      </c>
      <c r="D443" s="49" t="s">
        <v>306</v>
      </c>
      <c r="E443" s="5" t="s">
        <v>521</v>
      </c>
      <c r="F443" s="6">
        <v>20000</v>
      </c>
      <c r="G443" s="6">
        <v>20000</v>
      </c>
      <c r="H443" s="7">
        <v>0</v>
      </c>
      <c r="I443" s="5" t="s">
        <v>616</v>
      </c>
      <c r="J443" s="5"/>
      <c r="K443" s="5" t="s">
        <v>647</v>
      </c>
    </row>
    <row r="444" spans="1:11" ht="15" thickBot="1" x14ac:dyDescent="0.35">
      <c r="A444" s="9">
        <v>45784</v>
      </c>
      <c r="B444" s="5" t="s">
        <v>648</v>
      </c>
      <c r="C444" s="5" t="s">
        <v>636</v>
      </c>
      <c r="D444" s="49" t="s">
        <v>306</v>
      </c>
      <c r="E444" s="5" t="s">
        <v>8</v>
      </c>
      <c r="F444" s="6">
        <v>20000</v>
      </c>
      <c r="G444" s="6">
        <v>20000</v>
      </c>
      <c r="H444" s="7">
        <v>0</v>
      </c>
      <c r="I444" s="5" t="s">
        <v>199</v>
      </c>
      <c r="J444" s="5"/>
      <c r="K444" s="5"/>
    </row>
    <row r="445" spans="1:11" ht="15" thickBot="1" x14ac:dyDescent="0.35">
      <c r="A445" s="9">
        <v>45784</v>
      </c>
      <c r="B445" s="5" t="s">
        <v>649</v>
      </c>
      <c r="C445" s="5" t="s">
        <v>636</v>
      </c>
      <c r="D445" s="47" t="s">
        <v>287</v>
      </c>
      <c r="E445" s="5" t="s">
        <v>457</v>
      </c>
      <c r="F445" s="6">
        <v>20000</v>
      </c>
      <c r="G445" s="6">
        <v>10000</v>
      </c>
      <c r="H445" s="6">
        <v>10000</v>
      </c>
      <c r="I445" s="5" t="s">
        <v>324</v>
      </c>
      <c r="J445" s="5"/>
      <c r="K445" s="5" t="s">
        <v>650</v>
      </c>
    </row>
    <row r="446" spans="1:11" ht="15" thickBot="1" x14ac:dyDescent="0.35">
      <c r="A446" s="9">
        <v>45784</v>
      </c>
      <c r="B446" s="5" t="s">
        <v>651</v>
      </c>
      <c r="C446" s="5" t="s">
        <v>636</v>
      </c>
      <c r="D446" s="49" t="s">
        <v>306</v>
      </c>
      <c r="E446" s="5" t="s">
        <v>8</v>
      </c>
      <c r="F446" s="6">
        <v>20000</v>
      </c>
      <c r="G446" s="6">
        <v>20000</v>
      </c>
      <c r="H446" s="7">
        <v>0</v>
      </c>
      <c r="I446" s="5" t="s">
        <v>199</v>
      </c>
      <c r="J446" s="5"/>
      <c r="K446" s="54">
        <v>45785</v>
      </c>
    </row>
    <row r="447" spans="1:11" ht="15" thickBot="1" x14ac:dyDescent="0.35">
      <c r="A447" s="9">
        <v>45815</v>
      </c>
      <c r="B447" s="5" t="s">
        <v>652</v>
      </c>
      <c r="C447" s="5" t="s">
        <v>636</v>
      </c>
      <c r="D447" s="47" t="s">
        <v>287</v>
      </c>
      <c r="E447" s="5" t="s">
        <v>521</v>
      </c>
      <c r="F447" s="6">
        <v>20000</v>
      </c>
      <c r="G447" s="6">
        <v>20000</v>
      </c>
      <c r="H447" s="7">
        <v>0</v>
      </c>
      <c r="I447" s="5" t="s">
        <v>324</v>
      </c>
      <c r="J447" s="5"/>
      <c r="K447" s="54">
        <v>45696</v>
      </c>
    </row>
    <row r="448" spans="1:11" ht="15" thickBot="1" x14ac:dyDescent="0.35">
      <c r="A448" s="9">
        <v>45815</v>
      </c>
      <c r="B448" s="5" t="s">
        <v>653</v>
      </c>
      <c r="C448" s="5" t="s">
        <v>636</v>
      </c>
      <c r="D448" s="47" t="s">
        <v>287</v>
      </c>
      <c r="E448" s="5" t="s">
        <v>8</v>
      </c>
      <c r="F448" s="6">
        <v>20000</v>
      </c>
      <c r="G448" s="6">
        <v>5000</v>
      </c>
      <c r="H448" s="6">
        <v>15000</v>
      </c>
      <c r="I448" s="5"/>
      <c r="J448" s="5"/>
      <c r="K448" s="5"/>
    </row>
    <row r="449" spans="1:11" ht="15" thickBot="1" x14ac:dyDescent="0.35">
      <c r="A449" s="9">
        <v>45815</v>
      </c>
      <c r="B449" s="5" t="s">
        <v>654</v>
      </c>
      <c r="C449" s="5" t="s">
        <v>636</v>
      </c>
      <c r="D449" s="49" t="s">
        <v>306</v>
      </c>
      <c r="E449" s="5" t="s">
        <v>457</v>
      </c>
      <c r="F449" s="6">
        <v>20000</v>
      </c>
      <c r="G449" s="6">
        <v>20000</v>
      </c>
      <c r="H449" s="7">
        <v>0</v>
      </c>
      <c r="I449" s="5" t="s">
        <v>324</v>
      </c>
      <c r="J449" s="5"/>
      <c r="K449" s="5" t="s">
        <v>326</v>
      </c>
    </row>
    <row r="450" spans="1:11" ht="15" thickBot="1" x14ac:dyDescent="0.35">
      <c r="A450" s="9">
        <v>45815</v>
      </c>
      <c r="B450" s="5" t="s">
        <v>655</v>
      </c>
      <c r="C450" s="5" t="s">
        <v>636</v>
      </c>
      <c r="D450" s="49" t="s">
        <v>306</v>
      </c>
      <c r="E450" s="5" t="s">
        <v>8</v>
      </c>
      <c r="F450" s="6">
        <v>20000</v>
      </c>
      <c r="G450" s="6">
        <v>1000</v>
      </c>
      <c r="H450" s="6">
        <v>19000</v>
      </c>
      <c r="I450" s="5"/>
      <c r="J450" s="5"/>
      <c r="K450" s="5"/>
    </row>
    <row r="451" spans="1:11" ht="15" thickBot="1" x14ac:dyDescent="0.35">
      <c r="A451" s="9">
        <v>45845</v>
      </c>
      <c r="B451" s="5" t="s">
        <v>656</v>
      </c>
      <c r="C451" s="5" t="s">
        <v>636</v>
      </c>
      <c r="D451" s="47" t="s">
        <v>287</v>
      </c>
      <c r="E451" s="5" t="s">
        <v>457</v>
      </c>
      <c r="F451" s="6">
        <v>20000</v>
      </c>
      <c r="G451" s="6">
        <v>10000</v>
      </c>
      <c r="H451" s="6">
        <v>10000</v>
      </c>
      <c r="I451" s="5" t="s">
        <v>324</v>
      </c>
      <c r="J451" s="5"/>
      <c r="K451" s="5" t="s">
        <v>657</v>
      </c>
    </row>
    <row r="452" spans="1:11" ht="15" thickBot="1" x14ac:dyDescent="0.35">
      <c r="A452" s="9">
        <v>45845</v>
      </c>
      <c r="B452" s="5" t="s">
        <v>658</v>
      </c>
      <c r="C452" s="5" t="s">
        <v>636</v>
      </c>
      <c r="D452" s="47" t="s">
        <v>287</v>
      </c>
      <c r="E452" s="5" t="s">
        <v>457</v>
      </c>
      <c r="F452" s="6">
        <v>20000</v>
      </c>
      <c r="G452" s="6">
        <v>10000</v>
      </c>
      <c r="H452" s="6">
        <v>10000</v>
      </c>
      <c r="I452" s="5" t="s">
        <v>324</v>
      </c>
      <c r="J452" s="5"/>
      <c r="K452" s="5" t="s">
        <v>659</v>
      </c>
    </row>
    <row r="453" spans="1:11" ht="15" thickBot="1" x14ac:dyDescent="0.35">
      <c r="A453" s="9">
        <v>45845</v>
      </c>
      <c r="B453" s="5" t="s">
        <v>660</v>
      </c>
      <c r="C453" s="5" t="s">
        <v>636</v>
      </c>
      <c r="D453" s="49" t="s">
        <v>306</v>
      </c>
      <c r="E453" s="5" t="s">
        <v>8</v>
      </c>
      <c r="F453" s="6">
        <v>20000</v>
      </c>
      <c r="G453" s="6">
        <v>20000</v>
      </c>
      <c r="H453" s="7">
        <v>0</v>
      </c>
      <c r="I453" s="5" t="s">
        <v>199</v>
      </c>
      <c r="J453" s="5"/>
      <c r="K453" s="54">
        <v>45785</v>
      </c>
    </row>
    <row r="454" spans="1:11" ht="15" thickBot="1" x14ac:dyDescent="0.35">
      <c r="A454" s="9">
        <v>45845</v>
      </c>
      <c r="B454" s="5" t="s">
        <v>661</v>
      </c>
      <c r="C454" s="5" t="s">
        <v>636</v>
      </c>
      <c r="D454" s="47" t="s">
        <v>287</v>
      </c>
      <c r="E454" s="5" t="s">
        <v>8</v>
      </c>
      <c r="F454" s="6">
        <v>20000</v>
      </c>
      <c r="G454" s="6">
        <v>1000</v>
      </c>
      <c r="H454" s="6">
        <v>19000</v>
      </c>
      <c r="I454" s="5"/>
      <c r="J454" s="5"/>
      <c r="K454" s="5"/>
    </row>
    <row r="455" spans="1:11" ht="15" thickBot="1" x14ac:dyDescent="0.35">
      <c r="A455" s="9">
        <v>45845</v>
      </c>
      <c r="B455" s="5" t="s">
        <v>662</v>
      </c>
      <c r="C455" s="5" t="s">
        <v>636</v>
      </c>
      <c r="D455" s="47" t="s">
        <v>287</v>
      </c>
      <c r="E455" s="5" t="s">
        <v>8</v>
      </c>
      <c r="F455" s="6">
        <v>20000</v>
      </c>
      <c r="G455" s="6">
        <v>8000</v>
      </c>
      <c r="H455" s="6">
        <v>12000</v>
      </c>
      <c r="I455" s="5"/>
      <c r="J455" s="5"/>
      <c r="K455" s="5"/>
    </row>
    <row r="456" spans="1:11" ht="15" thickBot="1" x14ac:dyDescent="0.35">
      <c r="A456" s="9">
        <v>45876</v>
      </c>
      <c r="B456" s="5" t="s">
        <v>663</v>
      </c>
      <c r="C456" s="5" t="s">
        <v>636</v>
      </c>
      <c r="D456" s="47" t="s">
        <v>287</v>
      </c>
      <c r="E456" s="5" t="s">
        <v>457</v>
      </c>
      <c r="F456" s="6">
        <v>20000</v>
      </c>
      <c r="G456" s="6">
        <v>10000</v>
      </c>
      <c r="H456" s="6">
        <v>10000</v>
      </c>
      <c r="I456" s="5" t="s">
        <v>324</v>
      </c>
      <c r="J456" s="5"/>
      <c r="K456" s="5" t="s">
        <v>659</v>
      </c>
    </row>
    <row r="457" spans="1:11" ht="15" thickBot="1" x14ac:dyDescent="0.35">
      <c r="A457" s="9">
        <v>45876</v>
      </c>
      <c r="B457" s="5" t="s">
        <v>664</v>
      </c>
      <c r="C457" s="5" t="s">
        <v>636</v>
      </c>
      <c r="D457" s="47" t="s">
        <v>287</v>
      </c>
      <c r="E457" s="5" t="s">
        <v>457</v>
      </c>
      <c r="F457" s="6">
        <v>20000</v>
      </c>
      <c r="G457" s="6">
        <v>10000</v>
      </c>
      <c r="H457" s="6">
        <v>10000</v>
      </c>
      <c r="I457" s="5" t="s">
        <v>324</v>
      </c>
      <c r="J457" s="5"/>
      <c r="K457" s="5" t="s">
        <v>326</v>
      </c>
    </row>
    <row r="458" spans="1:11" ht="15" thickBot="1" x14ac:dyDescent="0.35">
      <c r="A458" s="9">
        <v>45876</v>
      </c>
      <c r="B458" s="5" t="s">
        <v>665</v>
      </c>
      <c r="C458" s="5" t="s">
        <v>636</v>
      </c>
      <c r="D458" s="47" t="s">
        <v>287</v>
      </c>
      <c r="E458" s="5" t="s">
        <v>521</v>
      </c>
      <c r="F458" s="6">
        <v>15000</v>
      </c>
      <c r="G458" s="6">
        <v>15000</v>
      </c>
      <c r="H458" s="7">
        <v>0</v>
      </c>
      <c r="I458" s="5" t="s">
        <v>324</v>
      </c>
      <c r="J458" s="3" t="s">
        <v>2</v>
      </c>
      <c r="K458" s="5"/>
    </row>
    <row r="459" spans="1:11" ht="15" thickBot="1" x14ac:dyDescent="0.35">
      <c r="A459" s="9">
        <v>45876</v>
      </c>
      <c r="B459" s="5" t="s">
        <v>666</v>
      </c>
      <c r="C459" s="5" t="s">
        <v>636</v>
      </c>
      <c r="D459" s="49" t="s">
        <v>306</v>
      </c>
      <c r="E459" s="5" t="s">
        <v>8</v>
      </c>
      <c r="F459" s="6">
        <v>20000</v>
      </c>
      <c r="G459" s="6">
        <v>10000</v>
      </c>
      <c r="H459" s="6">
        <v>10000</v>
      </c>
      <c r="I459" s="5" t="s">
        <v>199</v>
      </c>
      <c r="J459" s="5"/>
      <c r="K459" s="5" t="s">
        <v>326</v>
      </c>
    </row>
    <row r="460" spans="1:11" ht="15" thickBot="1" x14ac:dyDescent="0.35">
      <c r="A460" s="9">
        <v>45907</v>
      </c>
      <c r="B460" s="5" t="s">
        <v>667</v>
      </c>
      <c r="C460" s="5" t="s">
        <v>636</v>
      </c>
      <c r="D460" s="47" t="s">
        <v>287</v>
      </c>
      <c r="E460" s="5" t="s">
        <v>521</v>
      </c>
      <c r="F460" s="6">
        <v>20000</v>
      </c>
      <c r="G460" s="6">
        <v>3000</v>
      </c>
      <c r="H460" s="6">
        <v>17000</v>
      </c>
      <c r="I460" s="5"/>
      <c r="J460" s="5"/>
      <c r="K460" s="5"/>
    </row>
    <row r="461" spans="1:11" ht="15" thickBot="1" x14ac:dyDescent="0.35">
      <c r="A461" s="9">
        <v>45907</v>
      </c>
      <c r="B461" s="5" t="s">
        <v>668</v>
      </c>
      <c r="C461" s="5" t="s">
        <v>636</v>
      </c>
      <c r="D461" s="47" t="s">
        <v>287</v>
      </c>
      <c r="E461" s="5" t="s">
        <v>521</v>
      </c>
      <c r="F461" s="6">
        <v>20000</v>
      </c>
      <c r="G461" s="6">
        <v>10000</v>
      </c>
      <c r="H461" s="6">
        <v>10000</v>
      </c>
      <c r="I461" s="5" t="s">
        <v>324</v>
      </c>
      <c r="J461" s="5"/>
      <c r="K461" s="5" t="s">
        <v>326</v>
      </c>
    </row>
    <row r="462" spans="1:11" ht="15" thickBot="1" x14ac:dyDescent="0.35">
      <c r="A462" s="9">
        <v>45907</v>
      </c>
      <c r="B462" s="5" t="s">
        <v>669</v>
      </c>
      <c r="C462" s="5" t="s">
        <v>636</v>
      </c>
      <c r="D462" s="47" t="s">
        <v>287</v>
      </c>
      <c r="E462" s="5" t="s">
        <v>521</v>
      </c>
      <c r="F462" s="6">
        <v>20000</v>
      </c>
      <c r="G462" s="6">
        <v>20000</v>
      </c>
      <c r="H462" s="7">
        <v>0</v>
      </c>
      <c r="I462" s="5" t="s">
        <v>324</v>
      </c>
      <c r="J462" s="5"/>
      <c r="K462" s="5"/>
    </row>
    <row r="463" spans="1:11" ht="15" thickBot="1" x14ac:dyDescent="0.35">
      <c r="A463" s="9">
        <v>45907</v>
      </c>
      <c r="B463" s="5" t="s">
        <v>670</v>
      </c>
      <c r="C463" s="5" t="s">
        <v>636</v>
      </c>
      <c r="D463" s="47" t="s">
        <v>287</v>
      </c>
      <c r="E463" s="5" t="s">
        <v>8</v>
      </c>
      <c r="F463" s="6">
        <v>20000</v>
      </c>
      <c r="G463" s="6">
        <v>20000</v>
      </c>
      <c r="H463" s="7">
        <v>0</v>
      </c>
      <c r="I463" s="5" t="s">
        <v>424</v>
      </c>
      <c r="J463" s="5"/>
      <c r="K463" s="5"/>
    </row>
    <row r="464" spans="1:11" ht="15" thickBot="1" x14ac:dyDescent="0.35">
      <c r="A464" s="9">
        <v>45937</v>
      </c>
      <c r="B464" s="5" t="s">
        <v>671</v>
      </c>
      <c r="C464" s="5" t="s">
        <v>636</v>
      </c>
      <c r="D464" s="47" t="s">
        <v>287</v>
      </c>
      <c r="E464" s="5" t="s">
        <v>457</v>
      </c>
      <c r="F464" s="6">
        <v>20000</v>
      </c>
      <c r="G464" s="6">
        <v>10000</v>
      </c>
      <c r="H464" s="6">
        <v>10000</v>
      </c>
      <c r="I464" s="5"/>
      <c r="J464" s="5"/>
      <c r="K464" s="5"/>
    </row>
    <row r="465" spans="1:11" ht="15" thickBot="1" x14ac:dyDescent="0.35">
      <c r="A465" s="9">
        <v>45937</v>
      </c>
      <c r="B465" s="5" t="s">
        <v>672</v>
      </c>
      <c r="C465" s="5" t="s">
        <v>636</v>
      </c>
      <c r="D465" s="47" t="s">
        <v>287</v>
      </c>
      <c r="E465" s="5" t="s">
        <v>521</v>
      </c>
      <c r="F465" s="6">
        <v>20000</v>
      </c>
      <c r="G465" s="6">
        <v>1000</v>
      </c>
      <c r="H465" s="6">
        <v>19000</v>
      </c>
      <c r="I465" s="5"/>
      <c r="J465" s="5"/>
      <c r="K465" s="5"/>
    </row>
    <row r="466" spans="1:11" ht="15" thickBot="1" x14ac:dyDescent="0.35">
      <c r="A466" s="9">
        <v>45937</v>
      </c>
      <c r="B466" s="5" t="s">
        <v>673</v>
      </c>
      <c r="C466" s="5" t="s">
        <v>636</v>
      </c>
      <c r="D466" s="49" t="s">
        <v>306</v>
      </c>
      <c r="E466" s="5" t="s">
        <v>8</v>
      </c>
      <c r="F466" s="6">
        <v>20000</v>
      </c>
      <c r="G466" s="6">
        <v>20000</v>
      </c>
      <c r="H466" s="7">
        <v>0</v>
      </c>
      <c r="I466" s="5" t="s">
        <v>199</v>
      </c>
      <c r="J466" s="5"/>
      <c r="K466" s="54">
        <v>45785</v>
      </c>
    </row>
    <row r="467" spans="1:11" ht="15" thickBot="1" x14ac:dyDescent="0.35">
      <c r="A467" s="9">
        <v>45968</v>
      </c>
      <c r="B467" s="5" t="s">
        <v>674</v>
      </c>
      <c r="C467" s="5" t="s">
        <v>636</v>
      </c>
      <c r="D467" s="47" t="s">
        <v>287</v>
      </c>
      <c r="E467" s="5" t="s">
        <v>457</v>
      </c>
      <c r="F467" s="6">
        <v>20000</v>
      </c>
      <c r="G467" s="6">
        <v>20000</v>
      </c>
      <c r="H467" s="7">
        <v>0</v>
      </c>
      <c r="I467" s="5" t="s">
        <v>324</v>
      </c>
      <c r="J467" s="5"/>
      <c r="K467" s="5"/>
    </row>
    <row r="468" spans="1:11" ht="15" thickBot="1" x14ac:dyDescent="0.35">
      <c r="A468" s="9">
        <v>45968</v>
      </c>
      <c r="B468" s="5" t="s">
        <v>675</v>
      </c>
      <c r="C468" s="5" t="s">
        <v>636</v>
      </c>
      <c r="D468" s="49" t="s">
        <v>306</v>
      </c>
      <c r="E468" s="5" t="s">
        <v>457</v>
      </c>
      <c r="F468" s="6">
        <v>20000</v>
      </c>
      <c r="G468" s="6">
        <v>15000</v>
      </c>
      <c r="H468" s="6">
        <v>5000</v>
      </c>
      <c r="I468" s="5" t="s">
        <v>616</v>
      </c>
      <c r="J468" s="5"/>
      <c r="K468" s="5"/>
    </row>
    <row r="469" spans="1:11" ht="15" thickBot="1" x14ac:dyDescent="0.35">
      <c r="A469" s="9">
        <v>45968</v>
      </c>
      <c r="B469" s="5" t="s">
        <v>677</v>
      </c>
      <c r="C469" s="5" t="s">
        <v>636</v>
      </c>
      <c r="D469" s="47" t="s">
        <v>287</v>
      </c>
      <c r="E469" s="5" t="s">
        <v>521</v>
      </c>
      <c r="F469" s="6">
        <v>20000</v>
      </c>
      <c r="G469" s="6">
        <v>20000</v>
      </c>
      <c r="H469" s="7">
        <v>0</v>
      </c>
      <c r="I469" s="5" t="s">
        <v>324</v>
      </c>
      <c r="J469" s="5"/>
      <c r="K469" s="5" t="s">
        <v>326</v>
      </c>
    </row>
    <row r="470" spans="1:11" ht="15" thickBot="1" x14ac:dyDescent="0.35">
      <c r="A470" s="9">
        <v>45998</v>
      </c>
      <c r="B470" s="5" t="s">
        <v>678</v>
      </c>
      <c r="C470" s="5" t="s">
        <v>636</v>
      </c>
      <c r="D470" s="47" t="s">
        <v>287</v>
      </c>
      <c r="E470" s="5" t="s">
        <v>457</v>
      </c>
      <c r="F470" s="6">
        <v>20000</v>
      </c>
      <c r="G470" s="6">
        <v>20000</v>
      </c>
      <c r="H470" s="7">
        <v>0</v>
      </c>
      <c r="I470" s="5" t="s">
        <v>324</v>
      </c>
      <c r="J470" s="5"/>
      <c r="K470" s="5"/>
    </row>
    <row r="471" spans="1:11" ht="15" thickBot="1" x14ac:dyDescent="0.35">
      <c r="A471" s="9">
        <v>45998</v>
      </c>
      <c r="B471" s="5" t="s">
        <v>679</v>
      </c>
      <c r="C471" s="5" t="s">
        <v>636</v>
      </c>
      <c r="D471" s="47" t="s">
        <v>287</v>
      </c>
      <c r="E471" s="5" t="s">
        <v>8</v>
      </c>
      <c r="F471" s="6">
        <v>20000</v>
      </c>
      <c r="G471" s="6">
        <v>20000</v>
      </c>
      <c r="H471" s="7">
        <v>0</v>
      </c>
      <c r="I471" s="5" t="s">
        <v>424</v>
      </c>
      <c r="J471" s="3" t="s">
        <v>2</v>
      </c>
      <c r="K471" s="5"/>
    </row>
    <row r="472" spans="1:11" ht="15" thickBot="1" x14ac:dyDescent="0.35">
      <c r="A472" s="3" t="s">
        <v>680</v>
      </c>
      <c r="B472" s="5" t="s">
        <v>681</v>
      </c>
      <c r="C472" s="5" t="s">
        <v>636</v>
      </c>
      <c r="D472" s="49" t="s">
        <v>306</v>
      </c>
      <c r="E472" s="5" t="s">
        <v>521</v>
      </c>
      <c r="F472" s="6">
        <v>20000</v>
      </c>
      <c r="G472" s="6">
        <v>20000</v>
      </c>
      <c r="H472" s="7">
        <v>0</v>
      </c>
      <c r="I472" s="5" t="s">
        <v>199</v>
      </c>
      <c r="J472" s="5"/>
      <c r="K472" s="5" t="s">
        <v>634</v>
      </c>
    </row>
    <row r="473" spans="1:11" ht="15" thickBot="1" x14ac:dyDescent="0.35">
      <c r="A473" s="3" t="s">
        <v>680</v>
      </c>
      <c r="B473" s="5" t="s">
        <v>682</v>
      </c>
      <c r="C473" s="5" t="s">
        <v>636</v>
      </c>
      <c r="D473" s="47" t="s">
        <v>287</v>
      </c>
      <c r="E473" s="5" t="s">
        <v>521</v>
      </c>
      <c r="F473" s="6">
        <v>20000</v>
      </c>
      <c r="G473" s="6">
        <v>20000</v>
      </c>
      <c r="H473" s="7">
        <v>0</v>
      </c>
      <c r="I473" s="5" t="s">
        <v>324</v>
      </c>
      <c r="J473" s="5"/>
      <c r="K473" s="5"/>
    </row>
    <row r="474" spans="1:11" ht="15" thickBot="1" x14ac:dyDescent="0.35">
      <c r="A474" s="3" t="s">
        <v>680</v>
      </c>
      <c r="B474" s="5" t="s">
        <v>683</v>
      </c>
      <c r="C474" s="5" t="s">
        <v>636</v>
      </c>
      <c r="D474" s="47" t="s">
        <v>287</v>
      </c>
      <c r="E474" s="5" t="s">
        <v>521</v>
      </c>
      <c r="F474" s="6">
        <v>20000</v>
      </c>
      <c r="G474" s="6">
        <v>20000</v>
      </c>
      <c r="H474" s="7">
        <v>0</v>
      </c>
      <c r="I474" s="5" t="s">
        <v>616</v>
      </c>
      <c r="J474" s="5"/>
      <c r="K474" s="5" t="s">
        <v>684</v>
      </c>
    </row>
    <row r="475" spans="1:11" ht="15" thickBot="1" x14ac:dyDescent="0.35">
      <c r="A475" s="3" t="s">
        <v>680</v>
      </c>
      <c r="B475" s="5" t="s">
        <v>685</v>
      </c>
      <c r="C475" s="5" t="s">
        <v>636</v>
      </c>
      <c r="D475" s="47" t="s">
        <v>287</v>
      </c>
      <c r="E475" s="5" t="s">
        <v>521</v>
      </c>
      <c r="F475" s="6">
        <v>20000</v>
      </c>
      <c r="G475" s="6">
        <v>20000</v>
      </c>
      <c r="H475" s="7">
        <v>0</v>
      </c>
      <c r="I475" s="5" t="s">
        <v>424</v>
      </c>
      <c r="J475" s="5"/>
      <c r="K475" s="5" t="s">
        <v>686</v>
      </c>
    </row>
    <row r="476" spans="1:11" ht="15" thickBot="1" x14ac:dyDescent="0.35">
      <c r="A476" s="3" t="s">
        <v>687</v>
      </c>
      <c r="B476" s="5" t="s">
        <v>688</v>
      </c>
      <c r="C476" s="5" t="s">
        <v>636</v>
      </c>
      <c r="D476" s="47" t="s">
        <v>287</v>
      </c>
      <c r="E476" s="5" t="s">
        <v>521</v>
      </c>
      <c r="F476" s="6">
        <v>20000</v>
      </c>
      <c r="G476" s="6">
        <v>20000</v>
      </c>
      <c r="H476" s="7">
        <v>0</v>
      </c>
      <c r="I476" s="5" t="s">
        <v>324</v>
      </c>
      <c r="J476" s="5"/>
      <c r="K476" s="5"/>
    </row>
    <row r="477" spans="1:11" ht="15" thickBot="1" x14ac:dyDescent="0.35">
      <c r="A477" s="3" t="s">
        <v>687</v>
      </c>
      <c r="B477" s="5" t="s">
        <v>689</v>
      </c>
      <c r="C477" s="5" t="s">
        <v>636</v>
      </c>
      <c r="D477" s="47" t="s">
        <v>287</v>
      </c>
      <c r="E477" s="5" t="s">
        <v>457</v>
      </c>
      <c r="F477" s="6">
        <v>20000</v>
      </c>
      <c r="G477" s="6">
        <v>10000</v>
      </c>
      <c r="H477" s="6">
        <v>10000</v>
      </c>
      <c r="I477" s="5" t="s">
        <v>424</v>
      </c>
      <c r="J477" s="5"/>
      <c r="K477" s="5" t="s">
        <v>690</v>
      </c>
    </row>
    <row r="478" spans="1:11" ht="15" thickBot="1" x14ac:dyDescent="0.35">
      <c r="A478" s="3" t="s">
        <v>687</v>
      </c>
      <c r="B478" s="5" t="s">
        <v>691</v>
      </c>
      <c r="C478" s="5" t="s">
        <v>636</v>
      </c>
      <c r="D478" s="47" t="s">
        <v>287</v>
      </c>
      <c r="E478" s="5" t="s">
        <v>457</v>
      </c>
      <c r="F478" s="6">
        <v>20000</v>
      </c>
      <c r="G478" s="6">
        <v>20000</v>
      </c>
      <c r="H478" s="7">
        <v>0</v>
      </c>
      <c r="I478" s="5" t="s">
        <v>324</v>
      </c>
      <c r="J478" s="5"/>
      <c r="K478" s="5"/>
    </row>
    <row r="479" spans="1:11" ht="15" thickBot="1" x14ac:dyDescent="0.35">
      <c r="A479" s="3" t="s">
        <v>325</v>
      </c>
      <c r="B479" s="5" t="s">
        <v>692</v>
      </c>
      <c r="C479" s="5" t="s">
        <v>636</v>
      </c>
      <c r="D479" s="47" t="s">
        <v>287</v>
      </c>
      <c r="E479" s="5" t="s">
        <v>521</v>
      </c>
      <c r="F479" s="6">
        <v>20000</v>
      </c>
      <c r="G479" s="6">
        <v>5000</v>
      </c>
      <c r="H479" s="6">
        <v>15000</v>
      </c>
      <c r="I479" s="5" t="s">
        <v>424</v>
      </c>
      <c r="J479" s="5"/>
      <c r="K479" s="5" t="s">
        <v>693</v>
      </c>
    </row>
    <row r="480" spans="1:11" ht="15" thickBot="1" x14ac:dyDescent="0.35">
      <c r="A480" s="3" t="s">
        <v>325</v>
      </c>
      <c r="B480" s="5" t="s">
        <v>694</v>
      </c>
      <c r="C480" s="5" t="s">
        <v>636</v>
      </c>
      <c r="D480" s="47" t="s">
        <v>287</v>
      </c>
      <c r="E480" s="5" t="s">
        <v>8</v>
      </c>
      <c r="F480" s="6">
        <v>20000</v>
      </c>
      <c r="G480" s="6">
        <v>20000</v>
      </c>
      <c r="H480" s="7">
        <v>0</v>
      </c>
      <c r="I480" s="5" t="s">
        <v>424</v>
      </c>
      <c r="J480" s="5"/>
      <c r="K480" s="5"/>
    </row>
    <row r="481" spans="1:11" ht="15" thickBot="1" x14ac:dyDescent="0.35">
      <c r="A481" s="3" t="s">
        <v>325</v>
      </c>
      <c r="B481" s="5" t="s">
        <v>695</v>
      </c>
      <c r="C481" s="5" t="s">
        <v>636</v>
      </c>
      <c r="D481" s="47" t="s">
        <v>287</v>
      </c>
      <c r="E481" s="5" t="s">
        <v>521</v>
      </c>
      <c r="F481" s="6">
        <v>20000</v>
      </c>
      <c r="G481" s="6">
        <v>10000</v>
      </c>
      <c r="H481" s="6">
        <v>10000</v>
      </c>
      <c r="I481" s="5" t="s">
        <v>199</v>
      </c>
      <c r="J481" s="5"/>
      <c r="K481" s="5" t="s">
        <v>634</v>
      </c>
    </row>
    <row r="482" spans="1:11" ht="15" thickBot="1" x14ac:dyDescent="0.35">
      <c r="A482" s="3" t="s">
        <v>696</v>
      </c>
      <c r="B482" s="5" t="s">
        <v>697</v>
      </c>
      <c r="C482" s="5" t="s">
        <v>636</v>
      </c>
      <c r="D482" s="47" t="s">
        <v>287</v>
      </c>
      <c r="E482" s="5" t="s">
        <v>457</v>
      </c>
      <c r="F482" s="6">
        <v>20000</v>
      </c>
      <c r="G482" s="6">
        <v>20000</v>
      </c>
      <c r="H482" s="7">
        <v>0</v>
      </c>
      <c r="I482" s="5" t="s">
        <v>424</v>
      </c>
      <c r="J482" s="5"/>
      <c r="K482" s="5"/>
    </row>
    <row r="483" spans="1:11" ht="15" thickBot="1" x14ac:dyDescent="0.35">
      <c r="A483" s="3" t="s">
        <v>696</v>
      </c>
      <c r="B483" s="5" t="s">
        <v>698</v>
      </c>
      <c r="C483" s="5" t="s">
        <v>636</v>
      </c>
      <c r="D483" s="47" t="s">
        <v>287</v>
      </c>
      <c r="E483" s="5" t="s">
        <v>457</v>
      </c>
      <c r="F483" s="6">
        <v>20000</v>
      </c>
      <c r="G483" s="6">
        <v>20000</v>
      </c>
      <c r="H483" s="7">
        <v>0</v>
      </c>
      <c r="I483" s="5" t="s">
        <v>424</v>
      </c>
      <c r="J483" s="5"/>
      <c r="K483" s="5"/>
    </row>
    <row r="484" spans="1:11" ht="15" thickBot="1" x14ac:dyDescent="0.35">
      <c r="A484" s="3" t="s">
        <v>696</v>
      </c>
      <c r="B484" s="5" t="s">
        <v>699</v>
      </c>
      <c r="C484" s="5" t="s">
        <v>636</v>
      </c>
      <c r="D484" s="49" t="s">
        <v>306</v>
      </c>
      <c r="E484" s="5" t="s">
        <v>521</v>
      </c>
      <c r="F484" s="6">
        <v>20000</v>
      </c>
      <c r="G484" s="6">
        <v>20000</v>
      </c>
      <c r="H484" s="7">
        <v>0</v>
      </c>
      <c r="I484" s="5" t="s">
        <v>616</v>
      </c>
      <c r="J484" s="5"/>
      <c r="K484" s="5" t="s">
        <v>700</v>
      </c>
    </row>
    <row r="485" spans="1:11" ht="15" thickBot="1" x14ac:dyDescent="0.35">
      <c r="A485" s="3" t="s">
        <v>696</v>
      </c>
      <c r="B485" s="5" t="s">
        <v>701</v>
      </c>
      <c r="C485" s="5" t="s">
        <v>636</v>
      </c>
      <c r="D485" s="49" t="s">
        <v>306</v>
      </c>
      <c r="E485" s="5" t="s">
        <v>521</v>
      </c>
      <c r="F485" s="6">
        <v>20000</v>
      </c>
      <c r="G485" s="6">
        <v>20000</v>
      </c>
      <c r="H485" s="7">
        <v>0</v>
      </c>
      <c r="I485" s="5" t="s">
        <v>616</v>
      </c>
      <c r="J485" s="5"/>
      <c r="K485" s="5" t="s">
        <v>702</v>
      </c>
    </row>
    <row r="486" spans="1:11" ht="15" thickBot="1" x14ac:dyDescent="0.35">
      <c r="A486" s="3" t="s">
        <v>696</v>
      </c>
      <c r="B486" s="5" t="s">
        <v>703</v>
      </c>
      <c r="C486" s="5" t="s">
        <v>636</v>
      </c>
      <c r="D486" s="47" t="s">
        <v>287</v>
      </c>
      <c r="E486" s="5" t="s">
        <v>457</v>
      </c>
      <c r="F486" s="42">
        <v>20000</v>
      </c>
      <c r="G486" s="42">
        <v>5000</v>
      </c>
      <c r="H486" s="42">
        <v>15000</v>
      </c>
      <c r="I486" s="32" t="s">
        <v>424</v>
      </c>
      <c r="J486" s="5"/>
      <c r="K486" s="5"/>
    </row>
    <row r="487" spans="1:11" ht="15" thickBot="1" x14ac:dyDescent="0.35">
      <c r="A487" s="3" t="s">
        <v>704</v>
      </c>
      <c r="B487" s="5" t="s">
        <v>705</v>
      </c>
      <c r="C487" s="5" t="s">
        <v>636</v>
      </c>
      <c r="D487" s="47" t="s">
        <v>287</v>
      </c>
      <c r="E487" s="5" t="s">
        <v>457</v>
      </c>
      <c r="F487" s="6">
        <v>20000</v>
      </c>
      <c r="G487" s="6">
        <v>20000</v>
      </c>
      <c r="H487" s="7">
        <v>0</v>
      </c>
      <c r="I487" s="5" t="s">
        <v>424</v>
      </c>
      <c r="J487" s="5"/>
      <c r="K487" s="5"/>
    </row>
    <row r="488" spans="1:11" ht="15" thickBot="1" x14ac:dyDescent="0.35">
      <c r="A488" s="3" t="s">
        <v>704</v>
      </c>
      <c r="B488" s="5" t="s">
        <v>706</v>
      </c>
      <c r="C488" s="5" t="s">
        <v>636</v>
      </c>
      <c r="D488" s="47" t="s">
        <v>287</v>
      </c>
      <c r="E488" s="5" t="s">
        <v>8</v>
      </c>
      <c r="F488" s="6">
        <v>20000</v>
      </c>
      <c r="G488" s="6">
        <v>1000</v>
      </c>
      <c r="H488" s="6">
        <v>19000</v>
      </c>
      <c r="I488" s="5"/>
      <c r="J488" s="5"/>
      <c r="K488" s="5"/>
    </row>
    <row r="489" spans="1:11" ht="15" thickBot="1" x14ac:dyDescent="0.35">
      <c r="A489" s="3" t="s">
        <v>704</v>
      </c>
      <c r="B489" s="5" t="s">
        <v>707</v>
      </c>
      <c r="C489" s="5" t="s">
        <v>636</v>
      </c>
      <c r="D489" s="47" t="s">
        <v>287</v>
      </c>
      <c r="E489" s="5" t="s">
        <v>8</v>
      </c>
      <c r="F489" s="6">
        <v>20000</v>
      </c>
      <c r="G489" s="6">
        <v>1000</v>
      </c>
      <c r="H489" s="6">
        <v>19000</v>
      </c>
      <c r="I489" s="5"/>
      <c r="J489" s="5"/>
      <c r="K489" s="5"/>
    </row>
    <row r="490" spans="1:11" ht="15" thickBot="1" x14ac:dyDescent="0.35">
      <c r="A490" s="3" t="s">
        <v>708</v>
      </c>
      <c r="B490" s="5" t="s">
        <v>709</v>
      </c>
      <c r="C490" s="5" t="s">
        <v>636</v>
      </c>
      <c r="D490" s="47" t="s">
        <v>287</v>
      </c>
      <c r="E490" s="5" t="s">
        <v>521</v>
      </c>
      <c r="F490" s="6">
        <v>20000</v>
      </c>
      <c r="G490" s="6">
        <v>1000</v>
      </c>
      <c r="H490" s="6">
        <v>19000</v>
      </c>
      <c r="I490" s="5"/>
      <c r="J490" s="5"/>
      <c r="K490" s="5"/>
    </row>
    <row r="491" spans="1:11" ht="15" thickBot="1" x14ac:dyDescent="0.35">
      <c r="A491" s="3" t="s">
        <v>708</v>
      </c>
      <c r="B491" s="5" t="s">
        <v>710</v>
      </c>
      <c r="C491" s="5" t="s">
        <v>636</v>
      </c>
      <c r="D491" s="47" t="s">
        <v>287</v>
      </c>
      <c r="E491" s="5" t="s">
        <v>521</v>
      </c>
      <c r="F491" s="6">
        <v>20000</v>
      </c>
      <c r="G491" s="6">
        <v>20000</v>
      </c>
      <c r="H491" s="7">
        <v>0</v>
      </c>
      <c r="I491" s="5" t="s">
        <v>424</v>
      </c>
      <c r="J491" s="5"/>
      <c r="K491" s="5" t="s">
        <v>700</v>
      </c>
    </row>
    <row r="492" spans="1:11" ht="15" thickBot="1" x14ac:dyDescent="0.35">
      <c r="A492" s="3" t="s">
        <v>708</v>
      </c>
      <c r="B492" s="5" t="s">
        <v>711</v>
      </c>
      <c r="C492" s="5" t="s">
        <v>636</v>
      </c>
      <c r="D492" s="49" t="s">
        <v>306</v>
      </c>
      <c r="E492" s="5" t="s">
        <v>8</v>
      </c>
      <c r="F492" s="6">
        <v>20000</v>
      </c>
      <c r="G492" s="6">
        <v>10000</v>
      </c>
      <c r="H492" s="6">
        <v>10000</v>
      </c>
      <c r="I492" s="5"/>
      <c r="J492" s="5"/>
      <c r="K492" s="5"/>
    </row>
    <row r="493" spans="1:11" ht="15" thickBot="1" x14ac:dyDescent="0.35">
      <c r="A493" s="3" t="s">
        <v>708</v>
      </c>
      <c r="B493" s="5" t="s">
        <v>712</v>
      </c>
      <c r="C493" s="5" t="s">
        <v>636</v>
      </c>
      <c r="D493" s="47" t="s">
        <v>287</v>
      </c>
      <c r="E493" s="5" t="s">
        <v>457</v>
      </c>
      <c r="F493" s="6">
        <v>20000</v>
      </c>
      <c r="G493" s="6">
        <v>1000</v>
      </c>
      <c r="H493" s="6">
        <v>19000</v>
      </c>
      <c r="I493" s="5"/>
      <c r="J493" s="5"/>
      <c r="K493" s="5"/>
    </row>
    <row r="494" spans="1:11" ht="15" thickBot="1" x14ac:dyDescent="0.35">
      <c r="A494" s="3" t="s">
        <v>708</v>
      </c>
      <c r="B494" s="5" t="s">
        <v>713</v>
      </c>
      <c r="C494" s="5" t="s">
        <v>636</v>
      </c>
      <c r="D494" s="49" t="s">
        <v>306</v>
      </c>
      <c r="E494" s="5" t="s">
        <v>8</v>
      </c>
      <c r="F494" s="6">
        <v>20000</v>
      </c>
      <c r="G494" s="6">
        <v>20000</v>
      </c>
      <c r="H494" s="7">
        <v>0</v>
      </c>
      <c r="I494" s="5" t="s">
        <v>616</v>
      </c>
      <c r="J494" s="5"/>
      <c r="K494" s="5"/>
    </row>
    <row r="495" spans="1:11" ht="15" thickBot="1" x14ac:dyDescent="0.35">
      <c r="A495" s="3" t="s">
        <v>708</v>
      </c>
      <c r="B495" s="5" t="s">
        <v>714</v>
      </c>
      <c r="C495" s="5" t="s">
        <v>636</v>
      </c>
      <c r="D495" s="49" t="s">
        <v>306</v>
      </c>
      <c r="E495" s="5" t="s">
        <v>8</v>
      </c>
      <c r="F495" s="6">
        <v>20000</v>
      </c>
      <c r="G495" s="6">
        <v>15000</v>
      </c>
      <c r="H495" s="6">
        <v>5000</v>
      </c>
      <c r="I495" s="5" t="s">
        <v>616</v>
      </c>
      <c r="J495" s="5"/>
      <c r="K495" s="5"/>
    </row>
    <row r="496" spans="1:11" ht="15" thickBot="1" x14ac:dyDescent="0.35">
      <c r="A496" s="3" t="s">
        <v>708</v>
      </c>
      <c r="B496" s="5" t="s">
        <v>715</v>
      </c>
      <c r="C496" s="5" t="s">
        <v>636</v>
      </c>
      <c r="D496" s="47" t="s">
        <v>287</v>
      </c>
      <c r="E496" s="5" t="s">
        <v>8</v>
      </c>
      <c r="F496" s="6">
        <v>20000</v>
      </c>
      <c r="G496" s="6">
        <v>20000</v>
      </c>
      <c r="H496" s="7">
        <v>0</v>
      </c>
      <c r="I496" s="5" t="s">
        <v>424</v>
      </c>
      <c r="J496" s="5"/>
      <c r="K496" s="33">
        <v>45905</v>
      </c>
    </row>
    <row r="497" spans="1:11" ht="15" thickBot="1" x14ac:dyDescent="0.35">
      <c r="A497" s="3" t="s">
        <v>676</v>
      </c>
      <c r="B497" s="5" t="s">
        <v>716</v>
      </c>
      <c r="C497" s="5" t="s">
        <v>636</v>
      </c>
      <c r="D497" s="47" t="s">
        <v>287</v>
      </c>
      <c r="E497" s="5" t="s">
        <v>457</v>
      </c>
      <c r="F497" s="6">
        <v>20000</v>
      </c>
      <c r="G497" s="6">
        <v>10000</v>
      </c>
      <c r="H497" s="6">
        <v>10000</v>
      </c>
      <c r="I497" s="5" t="s">
        <v>424</v>
      </c>
      <c r="J497" s="5"/>
      <c r="K497" s="33">
        <v>45910</v>
      </c>
    </row>
    <row r="498" spans="1:11" ht="15" thickBot="1" x14ac:dyDescent="0.35">
      <c r="A498" s="3" t="s">
        <v>717</v>
      </c>
      <c r="B498" s="5" t="s">
        <v>718</v>
      </c>
      <c r="C498" s="5" t="s">
        <v>636</v>
      </c>
      <c r="D498" s="47" t="s">
        <v>287</v>
      </c>
      <c r="E498" s="5" t="s">
        <v>521</v>
      </c>
      <c r="F498" s="6">
        <v>20000</v>
      </c>
      <c r="G498" s="6">
        <v>10000</v>
      </c>
      <c r="H498" s="6">
        <v>10000</v>
      </c>
      <c r="I498" s="5" t="s">
        <v>424</v>
      </c>
      <c r="J498" s="5"/>
      <c r="K498" s="5"/>
    </row>
    <row r="499" spans="1:11" ht="15" thickBot="1" x14ac:dyDescent="0.35">
      <c r="A499" s="3" t="s">
        <v>717</v>
      </c>
      <c r="B499" s="5" t="s">
        <v>269</v>
      </c>
      <c r="C499" s="5" t="s">
        <v>636</v>
      </c>
      <c r="D499" s="47" t="s">
        <v>287</v>
      </c>
      <c r="E499" s="5" t="s">
        <v>457</v>
      </c>
      <c r="F499" s="6">
        <v>20000</v>
      </c>
      <c r="G499" s="6">
        <v>20000</v>
      </c>
      <c r="H499" s="7">
        <v>0</v>
      </c>
      <c r="I499" s="5" t="s">
        <v>424</v>
      </c>
      <c r="J499" s="5"/>
      <c r="K499" s="5"/>
    </row>
    <row r="500" spans="1:11" ht="15" thickBot="1" x14ac:dyDescent="0.35">
      <c r="A500" s="3" t="s">
        <v>719</v>
      </c>
      <c r="B500" s="5" t="s">
        <v>720</v>
      </c>
      <c r="C500" s="5" t="s">
        <v>636</v>
      </c>
      <c r="D500" s="47" t="s">
        <v>287</v>
      </c>
      <c r="E500" s="5" t="s">
        <v>8</v>
      </c>
      <c r="F500" s="6">
        <v>20000</v>
      </c>
      <c r="G500" s="6">
        <v>6000</v>
      </c>
      <c r="H500" s="6">
        <v>14000</v>
      </c>
      <c r="I500" s="5" t="s">
        <v>424</v>
      </c>
      <c r="J500" s="5"/>
      <c r="K500" s="5"/>
    </row>
    <row r="501" spans="1:11" ht="15" thickBot="1" x14ac:dyDescent="0.35">
      <c r="A501" s="3" t="s">
        <v>719</v>
      </c>
      <c r="B501" s="5" t="s">
        <v>721</v>
      </c>
      <c r="C501" s="5" t="s">
        <v>636</v>
      </c>
      <c r="D501" s="47" t="s">
        <v>287</v>
      </c>
      <c r="E501" s="5" t="s">
        <v>457</v>
      </c>
      <c r="F501" s="6">
        <v>20000</v>
      </c>
      <c r="G501" s="6">
        <v>20000</v>
      </c>
      <c r="H501" s="7">
        <v>0</v>
      </c>
      <c r="I501" s="5" t="s">
        <v>424</v>
      </c>
      <c r="J501" s="5"/>
      <c r="K501" s="5"/>
    </row>
    <row r="502" spans="1:11" ht="15" thickBot="1" x14ac:dyDescent="0.35">
      <c r="A502" s="3" t="s">
        <v>722</v>
      </c>
      <c r="B502" s="5" t="s">
        <v>723</v>
      </c>
      <c r="C502" s="5" t="s">
        <v>636</v>
      </c>
      <c r="D502" s="47" t="s">
        <v>287</v>
      </c>
      <c r="E502" s="5" t="s">
        <v>8</v>
      </c>
      <c r="F502" s="6">
        <v>20000</v>
      </c>
      <c r="G502" s="6">
        <v>20000</v>
      </c>
      <c r="H502" s="7">
        <v>0</v>
      </c>
      <c r="I502" s="5" t="s">
        <v>424</v>
      </c>
      <c r="J502" s="5"/>
      <c r="K502" s="5" t="s">
        <v>505</v>
      </c>
    </row>
    <row r="503" spans="1:11" ht="15" thickBot="1" x14ac:dyDescent="0.35">
      <c r="A503" s="3" t="s">
        <v>722</v>
      </c>
      <c r="B503" s="5" t="s">
        <v>724</v>
      </c>
      <c r="C503" s="5" t="s">
        <v>636</v>
      </c>
      <c r="D503" s="49" t="s">
        <v>306</v>
      </c>
      <c r="E503" s="5" t="s">
        <v>8</v>
      </c>
      <c r="F503" s="6">
        <v>20000</v>
      </c>
      <c r="G503" s="6">
        <v>20000</v>
      </c>
      <c r="H503" s="7">
        <v>0</v>
      </c>
      <c r="I503" s="5" t="s">
        <v>616</v>
      </c>
      <c r="J503" s="5"/>
      <c r="K503" s="5"/>
    </row>
    <row r="504" spans="1:11" ht="15" thickBot="1" x14ac:dyDescent="0.35">
      <c r="A504" s="3" t="s">
        <v>470</v>
      </c>
      <c r="B504" s="5" t="s">
        <v>639</v>
      </c>
      <c r="C504" s="5" t="s">
        <v>636</v>
      </c>
      <c r="D504" s="47" t="s">
        <v>287</v>
      </c>
      <c r="E504" s="5" t="s">
        <v>521</v>
      </c>
      <c r="F504" s="6">
        <v>20000</v>
      </c>
      <c r="G504" s="6">
        <v>20000</v>
      </c>
      <c r="H504" s="7">
        <v>0</v>
      </c>
      <c r="I504" s="5" t="s">
        <v>424</v>
      </c>
      <c r="J504" s="5"/>
      <c r="K504" s="5"/>
    </row>
    <row r="505" spans="1:11" ht="15" thickBot="1" x14ac:dyDescent="0.35">
      <c r="A505" s="3" t="s">
        <v>470</v>
      </c>
      <c r="B505" s="5" t="s">
        <v>725</v>
      </c>
      <c r="C505" s="5" t="s">
        <v>636</v>
      </c>
      <c r="D505" s="47" t="s">
        <v>287</v>
      </c>
      <c r="E505" s="5" t="s">
        <v>8</v>
      </c>
      <c r="F505" s="6">
        <v>20000</v>
      </c>
      <c r="G505" s="6">
        <v>2500</v>
      </c>
      <c r="H505" s="6">
        <v>17500</v>
      </c>
      <c r="I505" s="5"/>
      <c r="J505" s="5"/>
      <c r="K505" s="5"/>
    </row>
    <row r="506" spans="1:11" ht="15" thickBot="1" x14ac:dyDescent="0.35">
      <c r="A506" s="3" t="s">
        <v>470</v>
      </c>
      <c r="B506" s="5" t="s">
        <v>726</v>
      </c>
      <c r="C506" s="5" t="s">
        <v>636</v>
      </c>
      <c r="D506" s="47" t="s">
        <v>287</v>
      </c>
      <c r="E506" s="5" t="s">
        <v>8</v>
      </c>
      <c r="F506" s="6">
        <v>20000</v>
      </c>
      <c r="G506" s="6">
        <v>10000</v>
      </c>
      <c r="H506" s="6">
        <v>10000</v>
      </c>
      <c r="I506" s="5" t="s">
        <v>424</v>
      </c>
      <c r="J506" s="5"/>
      <c r="K506" s="5"/>
    </row>
    <row r="507" spans="1:11" ht="15" thickBot="1" x14ac:dyDescent="0.35">
      <c r="A507" s="3" t="s">
        <v>727</v>
      </c>
      <c r="B507" s="5" t="s">
        <v>728</v>
      </c>
      <c r="C507" s="5" t="s">
        <v>636</v>
      </c>
      <c r="D507" s="47" t="s">
        <v>287</v>
      </c>
      <c r="E507" s="5" t="s">
        <v>8</v>
      </c>
      <c r="F507" s="6">
        <v>20000</v>
      </c>
      <c r="G507" s="6">
        <v>20000</v>
      </c>
      <c r="H507" s="7">
        <v>0</v>
      </c>
      <c r="I507" s="5" t="s">
        <v>424</v>
      </c>
      <c r="J507" s="5"/>
      <c r="K507" s="33">
        <v>45905</v>
      </c>
    </row>
    <row r="508" spans="1:11" ht="15" thickBot="1" x14ac:dyDescent="0.35">
      <c r="A508" s="3" t="s">
        <v>727</v>
      </c>
      <c r="B508" s="5" t="s">
        <v>729</v>
      </c>
      <c r="C508" s="5" t="s">
        <v>636</v>
      </c>
      <c r="D508" s="47" t="s">
        <v>287</v>
      </c>
      <c r="E508" s="5" t="s">
        <v>457</v>
      </c>
      <c r="F508" s="6">
        <v>20000</v>
      </c>
      <c r="G508" s="6">
        <v>20000</v>
      </c>
      <c r="H508" s="7">
        <v>0</v>
      </c>
      <c r="I508" s="5" t="s">
        <v>424</v>
      </c>
      <c r="J508" s="5"/>
      <c r="K508" s="5"/>
    </row>
    <row r="509" spans="1:11" ht="15" thickBot="1" x14ac:dyDescent="0.35">
      <c r="A509" s="3" t="s">
        <v>727</v>
      </c>
      <c r="B509" s="5" t="s">
        <v>730</v>
      </c>
      <c r="C509" s="5" t="s">
        <v>636</v>
      </c>
      <c r="D509" s="47" t="s">
        <v>287</v>
      </c>
      <c r="E509" s="5" t="s">
        <v>521</v>
      </c>
      <c r="F509" s="6">
        <v>20000</v>
      </c>
      <c r="G509" s="6">
        <v>14000</v>
      </c>
      <c r="H509" s="6">
        <v>6000</v>
      </c>
      <c r="I509" s="5" t="s">
        <v>616</v>
      </c>
      <c r="J509" s="5"/>
      <c r="K509" s="5"/>
    </row>
    <row r="510" spans="1:11" ht="15" thickBot="1" x14ac:dyDescent="0.35">
      <c r="A510" s="3" t="s">
        <v>727</v>
      </c>
      <c r="B510" s="5" t="s">
        <v>731</v>
      </c>
      <c r="C510" s="5" t="s">
        <v>636</v>
      </c>
      <c r="D510" s="47" t="s">
        <v>287</v>
      </c>
      <c r="E510" s="5" t="s">
        <v>521</v>
      </c>
      <c r="F510" s="6">
        <v>20000</v>
      </c>
      <c r="G510" s="6">
        <v>20000</v>
      </c>
      <c r="H510" s="7">
        <v>0</v>
      </c>
      <c r="I510" s="5" t="s">
        <v>424</v>
      </c>
      <c r="J510" s="5"/>
      <c r="K510" s="5"/>
    </row>
    <row r="511" spans="1:11" ht="15" thickBot="1" x14ac:dyDescent="0.35">
      <c r="A511" s="3" t="s">
        <v>732</v>
      </c>
      <c r="B511" s="5" t="s">
        <v>733</v>
      </c>
      <c r="C511" s="5" t="s">
        <v>636</v>
      </c>
      <c r="D511" s="47" t="s">
        <v>287</v>
      </c>
      <c r="E511" s="5" t="s">
        <v>521</v>
      </c>
      <c r="F511" s="6">
        <v>20000</v>
      </c>
      <c r="G511" s="6">
        <v>20000</v>
      </c>
      <c r="H511" s="7">
        <v>0</v>
      </c>
      <c r="I511" s="5" t="s">
        <v>424</v>
      </c>
      <c r="J511" s="5"/>
      <c r="K511" s="5"/>
    </row>
    <row r="512" spans="1:11" ht="15" thickBot="1" x14ac:dyDescent="0.35">
      <c r="A512" s="3" t="s">
        <v>732</v>
      </c>
      <c r="B512" s="5" t="s">
        <v>734</v>
      </c>
      <c r="C512" s="5" t="s">
        <v>636</v>
      </c>
      <c r="D512" s="47" t="s">
        <v>287</v>
      </c>
      <c r="E512" s="5" t="s">
        <v>521</v>
      </c>
      <c r="F512" s="6">
        <v>20000</v>
      </c>
      <c r="G512" s="6">
        <v>10500</v>
      </c>
      <c r="H512" s="6">
        <v>9500</v>
      </c>
      <c r="I512" s="5" t="s">
        <v>424</v>
      </c>
      <c r="J512" s="5"/>
      <c r="K512" s="5"/>
    </row>
    <row r="513" spans="1:11" ht="15" thickBot="1" x14ac:dyDescent="0.35">
      <c r="A513" s="3" t="s">
        <v>732</v>
      </c>
      <c r="B513" s="5" t="s">
        <v>735</v>
      </c>
      <c r="C513" s="5" t="s">
        <v>636</v>
      </c>
      <c r="D513" s="47" t="s">
        <v>287</v>
      </c>
      <c r="E513" s="5" t="s">
        <v>8</v>
      </c>
      <c r="F513" s="6">
        <v>20000</v>
      </c>
      <c r="G513" s="6">
        <v>20000</v>
      </c>
      <c r="H513" s="7">
        <v>0</v>
      </c>
      <c r="I513" s="5" t="s">
        <v>424</v>
      </c>
      <c r="J513" s="5"/>
      <c r="K513" s="5"/>
    </row>
    <row r="514" spans="1:11" ht="15" thickBot="1" x14ac:dyDescent="0.35">
      <c r="A514" s="3" t="s">
        <v>732</v>
      </c>
      <c r="B514" s="5" t="s">
        <v>736</v>
      </c>
      <c r="C514" s="5" t="s">
        <v>636</v>
      </c>
      <c r="D514" s="49" t="s">
        <v>306</v>
      </c>
      <c r="E514" s="5" t="s">
        <v>521</v>
      </c>
      <c r="F514" s="6">
        <v>20000</v>
      </c>
      <c r="G514" s="6">
        <v>20000</v>
      </c>
      <c r="H514" s="7">
        <v>0</v>
      </c>
      <c r="I514" s="5" t="s">
        <v>616</v>
      </c>
      <c r="J514" s="5"/>
      <c r="K514" s="5"/>
    </row>
    <row r="515" spans="1:11" ht="15" thickBot="1" x14ac:dyDescent="0.35">
      <c r="A515" s="3" t="s">
        <v>732</v>
      </c>
      <c r="B515" s="5" t="s">
        <v>737</v>
      </c>
      <c r="C515" s="5" t="s">
        <v>636</v>
      </c>
      <c r="D515" s="47" t="s">
        <v>287</v>
      </c>
      <c r="E515" s="5" t="s">
        <v>521</v>
      </c>
      <c r="F515" s="6">
        <v>20000</v>
      </c>
      <c r="G515" s="6">
        <v>10000</v>
      </c>
      <c r="H515" s="6">
        <v>10000</v>
      </c>
      <c r="I515" s="5" t="s">
        <v>616</v>
      </c>
      <c r="J515" s="5"/>
      <c r="K515" s="5"/>
    </row>
    <row r="516" spans="1:11" ht="15" thickBot="1" x14ac:dyDescent="0.35">
      <c r="A516" s="3" t="s">
        <v>738</v>
      </c>
      <c r="B516" s="5" t="s">
        <v>739</v>
      </c>
      <c r="C516" s="5" t="s">
        <v>636</v>
      </c>
      <c r="D516" s="3" t="s">
        <v>0</v>
      </c>
      <c r="E516" s="5"/>
      <c r="F516" s="6">
        <v>20000</v>
      </c>
      <c r="G516" s="6">
        <v>10000</v>
      </c>
      <c r="H516" s="6">
        <v>10000</v>
      </c>
      <c r="I516" s="5" t="s">
        <v>740</v>
      </c>
      <c r="J516" s="5"/>
      <c r="K516" s="5"/>
    </row>
    <row r="517" spans="1:11" ht="15" thickBot="1" x14ac:dyDescent="0.35">
      <c r="A517" s="3" t="s">
        <v>741</v>
      </c>
      <c r="B517" s="5" t="s">
        <v>742</v>
      </c>
      <c r="C517" s="5" t="s">
        <v>636</v>
      </c>
      <c r="D517" s="47" t="s">
        <v>287</v>
      </c>
      <c r="E517" s="5" t="s">
        <v>521</v>
      </c>
      <c r="F517" s="6">
        <v>20000</v>
      </c>
      <c r="G517" s="6">
        <v>20000</v>
      </c>
      <c r="H517" s="7">
        <v>0</v>
      </c>
      <c r="I517" s="5" t="s">
        <v>424</v>
      </c>
      <c r="J517" s="5"/>
      <c r="K517" s="5"/>
    </row>
    <row r="518" spans="1:11" ht="15" thickBot="1" x14ac:dyDescent="0.35">
      <c r="A518" s="3" t="s">
        <v>743</v>
      </c>
      <c r="B518" s="5" t="s">
        <v>744</v>
      </c>
      <c r="C518" s="5" t="s">
        <v>636</v>
      </c>
      <c r="D518" s="49" t="s">
        <v>306</v>
      </c>
      <c r="E518" s="5" t="s">
        <v>521</v>
      </c>
      <c r="F518" s="6">
        <v>20000</v>
      </c>
      <c r="G518" s="6">
        <v>3000</v>
      </c>
      <c r="H518" s="6">
        <v>17000</v>
      </c>
      <c r="I518" s="5"/>
      <c r="J518" s="5"/>
      <c r="K518" s="5"/>
    </row>
    <row r="519" spans="1:11" ht="15" thickBot="1" x14ac:dyDescent="0.35">
      <c r="A519" s="3" t="s">
        <v>745</v>
      </c>
      <c r="B519" s="5" t="s">
        <v>746</v>
      </c>
      <c r="C519" s="5" t="s">
        <v>636</v>
      </c>
      <c r="D519" s="47" t="s">
        <v>287</v>
      </c>
      <c r="E519" s="5" t="s">
        <v>521</v>
      </c>
      <c r="F519" s="6">
        <v>20000</v>
      </c>
      <c r="G519" s="6">
        <v>20000</v>
      </c>
      <c r="H519" s="7">
        <v>0</v>
      </c>
      <c r="I519" s="5" t="s">
        <v>424</v>
      </c>
      <c r="J519" s="5"/>
      <c r="K519" s="5"/>
    </row>
    <row r="520" spans="1:11" ht="15" thickBot="1" x14ac:dyDescent="0.35">
      <c r="A520" s="3" t="s">
        <v>745</v>
      </c>
      <c r="B520" s="5" t="s">
        <v>747</v>
      </c>
      <c r="C520" s="5" t="s">
        <v>636</v>
      </c>
      <c r="D520" s="47" t="s">
        <v>287</v>
      </c>
      <c r="E520" s="5" t="s">
        <v>521</v>
      </c>
      <c r="F520" s="6">
        <v>20000</v>
      </c>
      <c r="G520" s="6">
        <v>1000</v>
      </c>
      <c r="H520" s="6">
        <v>19000</v>
      </c>
      <c r="I520" s="5"/>
      <c r="J520" s="5"/>
      <c r="K520" s="5"/>
    </row>
    <row r="521" spans="1:11" ht="15" thickBot="1" x14ac:dyDescent="0.35">
      <c r="A521" s="3" t="s">
        <v>745</v>
      </c>
      <c r="B521" s="5" t="s">
        <v>748</v>
      </c>
      <c r="C521" s="5" t="s">
        <v>636</v>
      </c>
      <c r="D521" s="47" t="s">
        <v>287</v>
      </c>
      <c r="E521" s="5" t="s">
        <v>521</v>
      </c>
      <c r="F521" s="6">
        <v>20000</v>
      </c>
      <c r="G521" s="6">
        <v>10000</v>
      </c>
      <c r="H521" s="6">
        <v>10000</v>
      </c>
      <c r="I521" s="5" t="s">
        <v>424</v>
      </c>
      <c r="J521" s="5"/>
      <c r="K521" s="5"/>
    </row>
    <row r="522" spans="1:11" ht="15" thickBot="1" x14ac:dyDescent="0.35">
      <c r="A522" s="3" t="s">
        <v>745</v>
      </c>
      <c r="B522" s="5" t="s">
        <v>749</v>
      </c>
      <c r="C522" s="5" t="s">
        <v>636</v>
      </c>
      <c r="D522" s="47" t="s">
        <v>287</v>
      </c>
      <c r="E522" s="5" t="s">
        <v>521</v>
      </c>
      <c r="F522" s="6">
        <v>20000</v>
      </c>
      <c r="G522" s="6">
        <v>20000</v>
      </c>
      <c r="H522" s="7">
        <v>0</v>
      </c>
      <c r="I522" s="5" t="s">
        <v>424</v>
      </c>
      <c r="J522" s="5"/>
      <c r="K522" s="5" t="s">
        <v>750</v>
      </c>
    </row>
    <row r="523" spans="1:11" ht="15" thickBot="1" x14ac:dyDescent="0.35">
      <c r="A523" s="3" t="s">
        <v>745</v>
      </c>
      <c r="B523" s="5" t="s">
        <v>751</v>
      </c>
      <c r="C523" s="5" t="s">
        <v>636</v>
      </c>
      <c r="D523" s="47" t="s">
        <v>287</v>
      </c>
      <c r="E523" s="5" t="s">
        <v>457</v>
      </c>
      <c r="F523" s="6">
        <v>20000</v>
      </c>
      <c r="G523" s="6">
        <v>20000</v>
      </c>
      <c r="H523" s="7">
        <v>0</v>
      </c>
      <c r="I523" s="5" t="s">
        <v>424</v>
      </c>
      <c r="J523" s="5"/>
      <c r="K523" s="5" t="s">
        <v>554</v>
      </c>
    </row>
    <row r="524" spans="1:11" ht="15" thickBot="1" x14ac:dyDescent="0.35">
      <c r="A524" s="3" t="s">
        <v>745</v>
      </c>
      <c r="B524" s="5" t="s">
        <v>752</v>
      </c>
      <c r="C524" s="5" t="s">
        <v>636</v>
      </c>
      <c r="D524" s="47" t="s">
        <v>287</v>
      </c>
      <c r="E524" s="5" t="s">
        <v>457</v>
      </c>
      <c r="F524" s="6">
        <v>20000</v>
      </c>
      <c r="G524" s="6">
        <v>20000</v>
      </c>
      <c r="H524" s="7">
        <v>0</v>
      </c>
      <c r="I524" s="5" t="s">
        <v>424</v>
      </c>
      <c r="J524" s="5"/>
      <c r="K524" s="33">
        <v>45910</v>
      </c>
    </row>
    <row r="525" spans="1:11" ht="15" thickBot="1" x14ac:dyDescent="0.35">
      <c r="A525" s="3" t="s">
        <v>745</v>
      </c>
      <c r="B525" s="5" t="s">
        <v>753</v>
      </c>
      <c r="C525" s="5" t="s">
        <v>636</v>
      </c>
      <c r="D525" s="47" t="s">
        <v>287</v>
      </c>
      <c r="E525" s="5" t="s">
        <v>521</v>
      </c>
      <c r="F525" s="6">
        <v>20000</v>
      </c>
      <c r="G525" s="6">
        <v>20000</v>
      </c>
      <c r="H525" s="7">
        <v>0</v>
      </c>
      <c r="I525" s="5" t="s">
        <v>424</v>
      </c>
      <c r="J525" s="5"/>
      <c r="K525" s="5"/>
    </row>
    <row r="526" spans="1:11" ht="15" thickBot="1" x14ac:dyDescent="0.35">
      <c r="A526" s="9">
        <v>45665</v>
      </c>
      <c r="B526" s="5" t="s">
        <v>754</v>
      </c>
      <c r="C526" s="5" t="s">
        <v>7</v>
      </c>
      <c r="D526" s="47" t="s">
        <v>287</v>
      </c>
      <c r="E526" s="5" t="s">
        <v>8</v>
      </c>
      <c r="F526" s="6">
        <v>20000</v>
      </c>
      <c r="G526" s="6">
        <v>10000</v>
      </c>
      <c r="H526" s="6">
        <v>10000</v>
      </c>
      <c r="I526" s="5" t="s">
        <v>424</v>
      </c>
      <c r="J526" s="5"/>
      <c r="K526" s="5" t="s">
        <v>755</v>
      </c>
    </row>
    <row r="527" spans="1:11" ht="15" thickBot="1" x14ac:dyDescent="0.35">
      <c r="A527" s="9">
        <v>45665</v>
      </c>
      <c r="B527" s="5" t="s">
        <v>756</v>
      </c>
      <c r="C527" s="5" t="s">
        <v>7</v>
      </c>
      <c r="D527" s="47" t="s">
        <v>287</v>
      </c>
      <c r="E527" s="5" t="s">
        <v>521</v>
      </c>
      <c r="F527" s="6">
        <v>20000</v>
      </c>
      <c r="G527" s="6">
        <v>20000</v>
      </c>
      <c r="H527" s="7">
        <v>0</v>
      </c>
      <c r="I527" s="5" t="s">
        <v>424</v>
      </c>
      <c r="J527" s="5"/>
      <c r="K527" s="5" t="s">
        <v>757</v>
      </c>
    </row>
    <row r="528" spans="1:11" ht="15" thickBot="1" x14ac:dyDescent="0.35">
      <c r="A528" s="9">
        <v>45665</v>
      </c>
      <c r="B528" s="5" t="s">
        <v>758</v>
      </c>
      <c r="C528" s="5" t="s">
        <v>7</v>
      </c>
      <c r="D528" s="47" t="s">
        <v>287</v>
      </c>
      <c r="E528" s="5" t="s">
        <v>521</v>
      </c>
      <c r="F528" s="6">
        <v>20000</v>
      </c>
      <c r="G528" s="6">
        <v>20000</v>
      </c>
      <c r="H528" s="7">
        <v>0</v>
      </c>
      <c r="I528" s="5" t="s">
        <v>424</v>
      </c>
      <c r="J528" s="5"/>
      <c r="K528" s="5"/>
    </row>
    <row r="529" spans="1:11" ht="15" thickBot="1" x14ac:dyDescent="0.35">
      <c r="A529" s="9">
        <v>45665</v>
      </c>
      <c r="B529" s="5" t="s">
        <v>759</v>
      </c>
      <c r="C529" s="5" t="s">
        <v>7</v>
      </c>
      <c r="D529" s="49" t="s">
        <v>306</v>
      </c>
      <c r="E529" s="5" t="s">
        <v>8</v>
      </c>
      <c r="F529" s="6">
        <v>20000</v>
      </c>
      <c r="G529" s="6">
        <v>20000</v>
      </c>
      <c r="H529" s="7">
        <v>0</v>
      </c>
      <c r="I529" s="5" t="s">
        <v>424</v>
      </c>
      <c r="J529" s="5"/>
      <c r="K529" s="5" t="s">
        <v>760</v>
      </c>
    </row>
    <row r="530" spans="1:11" ht="15" thickBot="1" x14ac:dyDescent="0.35">
      <c r="A530" s="9">
        <v>45696</v>
      </c>
      <c r="B530" s="5" t="s">
        <v>761</v>
      </c>
      <c r="C530" s="5" t="s">
        <v>7</v>
      </c>
      <c r="D530" s="47" t="s">
        <v>287</v>
      </c>
      <c r="E530" s="5" t="s">
        <v>521</v>
      </c>
      <c r="F530" s="6">
        <v>20000</v>
      </c>
      <c r="G530" s="6">
        <v>20000</v>
      </c>
      <c r="H530" s="7">
        <v>0</v>
      </c>
      <c r="I530" s="5" t="s">
        <v>424</v>
      </c>
      <c r="J530" s="5"/>
      <c r="K530" s="5"/>
    </row>
    <row r="531" spans="1:11" ht="15" thickBot="1" x14ac:dyDescent="0.35">
      <c r="A531" s="9">
        <v>45724</v>
      </c>
      <c r="B531" s="5" t="s">
        <v>762</v>
      </c>
      <c r="C531" s="5" t="s">
        <v>7</v>
      </c>
      <c r="D531" s="47" t="s">
        <v>287</v>
      </c>
      <c r="E531" s="5" t="s">
        <v>8</v>
      </c>
      <c r="F531" s="6">
        <v>20000</v>
      </c>
      <c r="G531" s="6">
        <v>20000</v>
      </c>
      <c r="H531" s="7">
        <v>0</v>
      </c>
      <c r="I531" s="5" t="s">
        <v>424</v>
      </c>
      <c r="J531" s="5"/>
      <c r="K531" s="5" t="s">
        <v>760</v>
      </c>
    </row>
    <row r="532" spans="1:11" ht="15" thickBot="1" x14ac:dyDescent="0.35">
      <c r="A532" s="9">
        <v>45724</v>
      </c>
      <c r="B532" s="5" t="s">
        <v>763</v>
      </c>
      <c r="C532" s="5" t="s">
        <v>7</v>
      </c>
      <c r="D532" s="47" t="s">
        <v>287</v>
      </c>
      <c r="E532" s="5" t="s">
        <v>8</v>
      </c>
      <c r="F532" s="6">
        <v>20000</v>
      </c>
      <c r="G532" s="6">
        <v>20000</v>
      </c>
      <c r="H532" s="7">
        <v>0</v>
      </c>
      <c r="I532" s="5" t="s">
        <v>424</v>
      </c>
      <c r="J532" s="5"/>
      <c r="K532" s="33">
        <v>45905</v>
      </c>
    </row>
    <row r="533" spans="1:11" ht="15" thickBot="1" x14ac:dyDescent="0.35">
      <c r="A533" s="9">
        <v>45755</v>
      </c>
      <c r="B533" s="5" t="s">
        <v>764</v>
      </c>
      <c r="C533" s="5" t="s">
        <v>7</v>
      </c>
      <c r="D533" s="49" t="s">
        <v>306</v>
      </c>
      <c r="E533" s="5" t="s">
        <v>8</v>
      </c>
      <c r="F533" s="6">
        <v>20000</v>
      </c>
      <c r="G533" s="6">
        <v>20000</v>
      </c>
      <c r="H533" s="7">
        <v>0</v>
      </c>
      <c r="I533" s="5" t="s">
        <v>616</v>
      </c>
      <c r="J533" s="5"/>
      <c r="K533" s="5"/>
    </row>
    <row r="534" spans="1:11" ht="15" thickBot="1" x14ac:dyDescent="0.35">
      <c r="A534" s="9">
        <v>45785</v>
      </c>
      <c r="B534" s="5" t="s">
        <v>765</v>
      </c>
      <c r="C534" s="5" t="s">
        <v>7</v>
      </c>
      <c r="D534" s="47" t="s">
        <v>287</v>
      </c>
      <c r="E534" s="5" t="s">
        <v>457</v>
      </c>
      <c r="F534" s="6">
        <v>20000</v>
      </c>
      <c r="G534" s="6">
        <v>20000</v>
      </c>
      <c r="H534" s="7">
        <v>0</v>
      </c>
      <c r="I534" s="5" t="s">
        <v>424</v>
      </c>
      <c r="J534" s="5"/>
      <c r="K534" s="5"/>
    </row>
    <row r="535" spans="1:11" ht="15" thickBot="1" x14ac:dyDescent="0.35">
      <c r="A535" s="9">
        <v>45785</v>
      </c>
      <c r="B535" s="5" t="s">
        <v>766</v>
      </c>
      <c r="C535" s="5" t="s">
        <v>7</v>
      </c>
      <c r="D535" s="47" t="s">
        <v>287</v>
      </c>
      <c r="E535" s="5" t="s">
        <v>8</v>
      </c>
      <c r="F535" s="6">
        <v>20000</v>
      </c>
      <c r="G535" s="6">
        <v>20000</v>
      </c>
      <c r="H535" s="7">
        <v>0</v>
      </c>
      <c r="I535" s="5" t="s">
        <v>424</v>
      </c>
      <c r="J535" s="5"/>
      <c r="K535" s="33">
        <v>45905</v>
      </c>
    </row>
    <row r="536" spans="1:11" ht="15" thickBot="1" x14ac:dyDescent="0.35">
      <c r="A536" s="9">
        <v>45785</v>
      </c>
      <c r="B536" s="5" t="s">
        <v>767</v>
      </c>
      <c r="C536" s="5" t="s">
        <v>7</v>
      </c>
      <c r="D536" s="47" t="s">
        <v>287</v>
      </c>
      <c r="E536" s="5" t="s">
        <v>8</v>
      </c>
      <c r="F536" s="6">
        <v>20000</v>
      </c>
      <c r="G536" s="6">
        <v>10000</v>
      </c>
      <c r="H536" s="6">
        <v>10000</v>
      </c>
      <c r="I536" s="5" t="s">
        <v>424</v>
      </c>
      <c r="J536" s="5"/>
      <c r="K536" s="5" t="s">
        <v>760</v>
      </c>
    </row>
    <row r="537" spans="1:11" ht="15" thickBot="1" x14ac:dyDescent="0.35">
      <c r="A537" s="9">
        <v>45785</v>
      </c>
      <c r="B537" s="5" t="s">
        <v>768</v>
      </c>
      <c r="C537" s="5" t="s">
        <v>7</v>
      </c>
      <c r="D537" s="49" t="s">
        <v>306</v>
      </c>
      <c r="E537" s="5" t="s">
        <v>8</v>
      </c>
      <c r="F537" s="6">
        <v>20000</v>
      </c>
      <c r="G537" s="6">
        <v>10000</v>
      </c>
      <c r="H537" s="6">
        <v>10000</v>
      </c>
      <c r="I537" s="5" t="s">
        <v>616</v>
      </c>
      <c r="J537" s="5"/>
      <c r="K537" s="5"/>
    </row>
    <row r="538" spans="1:11" ht="15" thickBot="1" x14ac:dyDescent="0.35">
      <c r="A538" s="9">
        <v>45816</v>
      </c>
      <c r="B538" s="5" t="s">
        <v>769</v>
      </c>
      <c r="C538" s="5" t="s">
        <v>7</v>
      </c>
      <c r="D538" s="49" t="s">
        <v>306</v>
      </c>
      <c r="E538" s="5" t="s">
        <v>457</v>
      </c>
      <c r="F538" s="6">
        <v>20000</v>
      </c>
      <c r="G538" s="6">
        <v>10000</v>
      </c>
      <c r="H538" s="6">
        <v>10000</v>
      </c>
      <c r="I538" s="5" t="s">
        <v>616</v>
      </c>
      <c r="J538" s="5"/>
      <c r="K538" s="5"/>
    </row>
    <row r="539" spans="1:11" ht="15" thickBot="1" x14ac:dyDescent="0.35">
      <c r="A539" s="9">
        <v>45816</v>
      </c>
      <c r="B539" s="5" t="s">
        <v>770</v>
      </c>
      <c r="C539" s="5" t="s">
        <v>7</v>
      </c>
      <c r="D539" s="47" t="s">
        <v>287</v>
      </c>
      <c r="E539" s="5" t="s">
        <v>8</v>
      </c>
      <c r="F539" s="6">
        <v>20000</v>
      </c>
      <c r="G539" s="6">
        <v>8000</v>
      </c>
      <c r="H539" s="6">
        <v>12000</v>
      </c>
      <c r="I539" s="5" t="s">
        <v>616</v>
      </c>
      <c r="J539" s="5"/>
      <c r="K539" s="5"/>
    </row>
    <row r="540" spans="1:11" ht="15" thickBot="1" x14ac:dyDescent="0.35">
      <c r="A540" s="9">
        <v>45846</v>
      </c>
      <c r="B540" s="5" t="s">
        <v>772</v>
      </c>
      <c r="C540" s="5" t="s">
        <v>7</v>
      </c>
      <c r="D540" s="49" t="s">
        <v>306</v>
      </c>
      <c r="E540" s="5" t="s">
        <v>8</v>
      </c>
      <c r="F540" s="6">
        <v>20000</v>
      </c>
      <c r="G540" s="6">
        <v>20000</v>
      </c>
      <c r="H540" s="7">
        <v>0</v>
      </c>
      <c r="I540" s="5" t="s">
        <v>616</v>
      </c>
      <c r="J540" s="5"/>
      <c r="K540" s="5"/>
    </row>
    <row r="541" spans="1:11" ht="15" thickBot="1" x14ac:dyDescent="0.35">
      <c r="A541" s="9">
        <v>45846</v>
      </c>
      <c r="B541" s="5" t="s">
        <v>773</v>
      </c>
      <c r="C541" s="5" t="s">
        <v>7</v>
      </c>
      <c r="D541" s="47" t="s">
        <v>287</v>
      </c>
      <c r="E541" s="5" t="s">
        <v>457</v>
      </c>
      <c r="F541" s="6">
        <v>20000</v>
      </c>
      <c r="G541" s="6">
        <v>10000</v>
      </c>
      <c r="H541" s="6">
        <v>10000</v>
      </c>
      <c r="I541" s="5" t="s">
        <v>424</v>
      </c>
      <c r="J541" s="5"/>
      <c r="K541" s="33">
        <v>45925</v>
      </c>
    </row>
    <row r="542" spans="1:11" ht="15" thickBot="1" x14ac:dyDescent="0.35">
      <c r="A542" s="9">
        <v>45846</v>
      </c>
      <c r="B542" s="5" t="s">
        <v>774</v>
      </c>
      <c r="C542" s="5" t="s">
        <v>7</v>
      </c>
      <c r="D542" s="47" t="s">
        <v>287</v>
      </c>
      <c r="E542" s="5" t="s">
        <v>521</v>
      </c>
      <c r="F542" s="6">
        <v>20000</v>
      </c>
      <c r="G542" s="6">
        <v>7000</v>
      </c>
      <c r="H542" s="6">
        <v>13000</v>
      </c>
      <c r="I542" s="5"/>
      <c r="J542" s="5"/>
      <c r="K542" s="5"/>
    </row>
    <row r="543" spans="1:11" ht="15" thickBot="1" x14ac:dyDescent="0.35">
      <c r="A543" s="9">
        <v>45846</v>
      </c>
      <c r="B543" s="5" t="s">
        <v>775</v>
      </c>
      <c r="C543" s="5" t="s">
        <v>7</v>
      </c>
      <c r="D543" s="47" t="s">
        <v>287</v>
      </c>
      <c r="E543" s="5" t="s">
        <v>521</v>
      </c>
      <c r="F543" s="6">
        <v>20000</v>
      </c>
      <c r="G543" s="6">
        <v>10000</v>
      </c>
      <c r="H543" s="6">
        <v>10000</v>
      </c>
      <c r="I543" s="5" t="s">
        <v>424</v>
      </c>
      <c r="J543" s="5"/>
      <c r="K543" s="5"/>
    </row>
    <row r="544" spans="1:11" ht="15" thickBot="1" x14ac:dyDescent="0.35">
      <c r="A544" s="9">
        <v>45846</v>
      </c>
      <c r="B544" s="5" t="s">
        <v>776</v>
      </c>
      <c r="C544" s="5" t="s">
        <v>7</v>
      </c>
      <c r="D544" s="47" t="s">
        <v>287</v>
      </c>
      <c r="E544" s="5" t="s">
        <v>457</v>
      </c>
      <c r="F544" s="6">
        <v>20000</v>
      </c>
      <c r="G544" s="6">
        <v>20000</v>
      </c>
      <c r="H544" s="7">
        <v>0</v>
      </c>
      <c r="I544" s="5" t="s">
        <v>424</v>
      </c>
      <c r="J544" s="5"/>
      <c r="K544" s="33">
        <v>45910</v>
      </c>
    </row>
    <row r="545" spans="1:11" ht="15" thickBot="1" x14ac:dyDescent="0.35">
      <c r="A545" s="9">
        <v>45877</v>
      </c>
      <c r="B545" s="5" t="s">
        <v>777</v>
      </c>
      <c r="C545" s="5" t="s">
        <v>7</v>
      </c>
      <c r="D545" s="47" t="s">
        <v>287</v>
      </c>
      <c r="E545" s="5" t="s">
        <v>457</v>
      </c>
      <c r="F545" s="6">
        <v>20000</v>
      </c>
      <c r="G545" s="6">
        <v>20000</v>
      </c>
      <c r="H545" s="7">
        <v>0</v>
      </c>
      <c r="I545" s="5" t="s">
        <v>424</v>
      </c>
      <c r="J545" s="5"/>
      <c r="K545" s="5"/>
    </row>
    <row r="546" spans="1:11" ht="15" thickBot="1" x14ac:dyDescent="0.35">
      <c r="A546" s="9">
        <v>45877</v>
      </c>
      <c r="B546" s="5" t="s">
        <v>778</v>
      </c>
      <c r="C546" s="5" t="s">
        <v>7</v>
      </c>
      <c r="D546" s="47" t="s">
        <v>287</v>
      </c>
      <c r="E546" s="5" t="s">
        <v>8</v>
      </c>
      <c r="F546" s="6">
        <v>20000</v>
      </c>
      <c r="G546" s="6">
        <v>20000</v>
      </c>
      <c r="H546" s="7">
        <v>0</v>
      </c>
      <c r="I546" s="5" t="s">
        <v>424</v>
      </c>
      <c r="J546" s="5"/>
      <c r="K546" s="5"/>
    </row>
    <row r="547" spans="1:11" ht="15" thickBot="1" x14ac:dyDescent="0.35">
      <c r="A547" s="9">
        <v>45877</v>
      </c>
      <c r="B547" s="5" t="s">
        <v>779</v>
      </c>
      <c r="C547" s="5" t="s">
        <v>7</v>
      </c>
      <c r="D547" s="47" t="s">
        <v>287</v>
      </c>
      <c r="E547" s="5" t="s">
        <v>8</v>
      </c>
      <c r="F547" s="6">
        <v>20000</v>
      </c>
      <c r="G547" s="6">
        <v>17000</v>
      </c>
      <c r="H547" s="6">
        <v>3000</v>
      </c>
      <c r="I547" s="5" t="s">
        <v>424</v>
      </c>
      <c r="J547" s="5"/>
      <c r="K547" s="5"/>
    </row>
    <row r="548" spans="1:11" ht="15" thickBot="1" x14ac:dyDescent="0.35">
      <c r="A548" s="9">
        <v>45877</v>
      </c>
      <c r="B548" s="5" t="s">
        <v>780</v>
      </c>
      <c r="C548" s="5" t="s">
        <v>7</v>
      </c>
      <c r="D548" s="47" t="s">
        <v>287</v>
      </c>
      <c r="E548" s="5" t="s">
        <v>521</v>
      </c>
      <c r="F548" s="6">
        <v>20000</v>
      </c>
      <c r="G548" s="6">
        <v>10000</v>
      </c>
      <c r="H548" s="6">
        <v>10000</v>
      </c>
      <c r="I548" s="5" t="s">
        <v>424</v>
      </c>
      <c r="J548" s="5"/>
      <c r="K548" s="5"/>
    </row>
    <row r="549" spans="1:11" ht="15" thickBot="1" x14ac:dyDescent="0.35">
      <c r="A549" s="9">
        <v>45877</v>
      </c>
      <c r="B549" s="5" t="s">
        <v>781</v>
      </c>
      <c r="C549" s="5" t="s">
        <v>7</v>
      </c>
      <c r="D549" s="47" t="s">
        <v>287</v>
      </c>
      <c r="E549" s="5" t="s">
        <v>8</v>
      </c>
      <c r="F549" s="6">
        <v>20000</v>
      </c>
      <c r="G549" s="6">
        <v>20000</v>
      </c>
      <c r="H549" s="7">
        <v>0</v>
      </c>
      <c r="I549" s="5" t="s">
        <v>424</v>
      </c>
      <c r="J549" s="5"/>
      <c r="K549" s="5"/>
    </row>
    <row r="550" spans="1:11" ht="15" thickBot="1" x14ac:dyDescent="0.35">
      <c r="A550" s="9">
        <v>45877</v>
      </c>
      <c r="B550" s="5" t="s">
        <v>782</v>
      </c>
      <c r="C550" s="5" t="s">
        <v>7</v>
      </c>
      <c r="D550" s="49" t="s">
        <v>306</v>
      </c>
      <c r="E550" s="5" t="s">
        <v>8</v>
      </c>
      <c r="F550" s="6">
        <v>20000</v>
      </c>
      <c r="G550" s="6">
        <v>10000</v>
      </c>
      <c r="H550" s="6">
        <v>10000</v>
      </c>
      <c r="I550" s="5" t="s">
        <v>616</v>
      </c>
      <c r="J550" s="5"/>
      <c r="K550" s="5"/>
    </row>
    <row r="551" spans="1:11" ht="15" thickBot="1" x14ac:dyDescent="0.35">
      <c r="A551" s="9">
        <v>45908</v>
      </c>
      <c r="B551" s="5" t="s">
        <v>96</v>
      </c>
      <c r="C551" s="5" t="s">
        <v>7</v>
      </c>
      <c r="D551" s="47" t="s">
        <v>287</v>
      </c>
      <c r="E551" s="5" t="s">
        <v>457</v>
      </c>
      <c r="F551" s="6">
        <v>20000</v>
      </c>
      <c r="G551" s="6">
        <v>3000</v>
      </c>
      <c r="H551" s="6">
        <v>17000</v>
      </c>
      <c r="I551" s="5" t="s">
        <v>616</v>
      </c>
      <c r="J551" s="5"/>
      <c r="K551" s="5" t="s">
        <v>783</v>
      </c>
    </row>
    <row r="552" spans="1:11" ht="15" thickBot="1" x14ac:dyDescent="0.35">
      <c r="A552" s="9">
        <v>45908</v>
      </c>
      <c r="B552" s="5" t="s">
        <v>784</v>
      </c>
      <c r="C552" s="5" t="s">
        <v>7</v>
      </c>
      <c r="D552" s="47" t="s">
        <v>287</v>
      </c>
      <c r="E552" s="5" t="s">
        <v>457</v>
      </c>
      <c r="F552" s="6">
        <v>20000</v>
      </c>
      <c r="G552" s="6">
        <v>20000</v>
      </c>
      <c r="H552" s="7">
        <v>0</v>
      </c>
      <c r="I552" s="5" t="s">
        <v>424</v>
      </c>
      <c r="J552" s="5"/>
      <c r="K552" s="5"/>
    </row>
    <row r="553" spans="1:11" ht="15" thickBot="1" x14ac:dyDescent="0.35">
      <c r="A553" s="9">
        <v>45938</v>
      </c>
      <c r="B553" s="5" t="s">
        <v>785</v>
      </c>
      <c r="C553" s="5" t="s">
        <v>7</v>
      </c>
      <c r="D553" s="47" t="s">
        <v>287</v>
      </c>
      <c r="E553" s="5" t="s">
        <v>8</v>
      </c>
      <c r="F553" s="6">
        <v>20000</v>
      </c>
      <c r="G553" s="6">
        <v>20000</v>
      </c>
      <c r="H553" s="7">
        <v>0</v>
      </c>
      <c r="I553" s="5" t="s">
        <v>424</v>
      </c>
      <c r="J553" s="5"/>
      <c r="K553" s="5"/>
    </row>
    <row r="554" spans="1:11" ht="15" thickBot="1" x14ac:dyDescent="0.35">
      <c r="A554" s="9">
        <v>45938</v>
      </c>
      <c r="B554" s="5" t="s">
        <v>786</v>
      </c>
      <c r="C554" s="5" t="s">
        <v>7</v>
      </c>
      <c r="D554" s="47" t="s">
        <v>287</v>
      </c>
      <c r="E554" s="5" t="s">
        <v>521</v>
      </c>
      <c r="F554" s="6">
        <v>20000</v>
      </c>
      <c r="G554" s="6">
        <v>20000</v>
      </c>
      <c r="H554" s="7">
        <v>0</v>
      </c>
      <c r="I554" s="5" t="s">
        <v>424</v>
      </c>
      <c r="J554" s="5"/>
      <c r="K554" s="5"/>
    </row>
    <row r="555" spans="1:11" ht="15" thickBot="1" x14ac:dyDescent="0.35">
      <c r="A555" s="9">
        <v>45938</v>
      </c>
      <c r="B555" s="5" t="s">
        <v>788</v>
      </c>
      <c r="C555" s="5" t="s">
        <v>7</v>
      </c>
      <c r="D555" s="47" t="s">
        <v>287</v>
      </c>
      <c r="E555" s="5" t="s">
        <v>457</v>
      </c>
      <c r="F555" s="6">
        <v>20000</v>
      </c>
      <c r="G555" s="6">
        <v>5000</v>
      </c>
      <c r="H555" s="6">
        <v>15000</v>
      </c>
      <c r="I555" s="5"/>
      <c r="J555" s="5"/>
      <c r="K555" s="5"/>
    </row>
    <row r="556" spans="1:11" ht="15" thickBot="1" x14ac:dyDescent="0.35">
      <c r="A556" s="9">
        <v>45938</v>
      </c>
      <c r="B556" s="5" t="s">
        <v>789</v>
      </c>
      <c r="C556" s="5" t="s">
        <v>7</v>
      </c>
      <c r="D556" s="49" t="s">
        <v>306</v>
      </c>
      <c r="E556" s="5" t="s">
        <v>8</v>
      </c>
      <c r="F556" s="6">
        <v>20000</v>
      </c>
      <c r="G556" s="6">
        <v>2000</v>
      </c>
      <c r="H556" s="6">
        <v>18000</v>
      </c>
      <c r="I556" s="5"/>
      <c r="J556" s="5"/>
      <c r="K556" s="5"/>
    </row>
    <row r="557" spans="1:11" ht="15" thickBot="1" x14ac:dyDescent="0.35">
      <c r="A557" s="9">
        <v>45938</v>
      </c>
      <c r="B557" s="5" t="s">
        <v>790</v>
      </c>
      <c r="C557" s="5" t="s">
        <v>7</v>
      </c>
      <c r="D557" s="47" t="s">
        <v>287</v>
      </c>
      <c r="E557" s="5" t="s">
        <v>8</v>
      </c>
      <c r="F557" s="6">
        <v>20000</v>
      </c>
      <c r="G557" s="6">
        <v>5000</v>
      </c>
      <c r="H557" s="6">
        <v>15000</v>
      </c>
      <c r="I557" s="5"/>
      <c r="J557" s="5"/>
      <c r="K557" s="5"/>
    </row>
    <row r="558" spans="1:11" ht="15" thickBot="1" x14ac:dyDescent="0.35">
      <c r="A558" s="9">
        <v>45969</v>
      </c>
      <c r="B558" s="5" t="s">
        <v>791</v>
      </c>
      <c r="C558" s="5" t="s">
        <v>7</v>
      </c>
      <c r="D558" s="49" t="s">
        <v>306</v>
      </c>
      <c r="E558" s="5" t="s">
        <v>457</v>
      </c>
      <c r="F558" s="6">
        <v>20000</v>
      </c>
      <c r="G558" s="6">
        <v>2000</v>
      </c>
      <c r="H558" s="6">
        <v>18000</v>
      </c>
      <c r="I558" s="5"/>
      <c r="J558" s="5"/>
      <c r="K558" s="5"/>
    </row>
    <row r="559" spans="1:11" ht="15" thickBot="1" x14ac:dyDescent="0.35">
      <c r="A559" s="9">
        <v>45999</v>
      </c>
      <c r="B559" s="5" t="s">
        <v>792</v>
      </c>
      <c r="C559" s="5" t="s">
        <v>7</v>
      </c>
      <c r="D559" s="47" t="s">
        <v>287</v>
      </c>
      <c r="E559" s="5" t="s">
        <v>457</v>
      </c>
      <c r="F559" s="6">
        <v>20000</v>
      </c>
      <c r="G559" s="6">
        <v>1000</v>
      </c>
      <c r="H559" s="6">
        <v>19000</v>
      </c>
      <c r="I559" s="5"/>
      <c r="J559" s="5"/>
      <c r="K559" s="5"/>
    </row>
    <row r="560" spans="1:11" ht="15" thickBot="1" x14ac:dyDescent="0.35">
      <c r="A560" s="9">
        <v>45999</v>
      </c>
      <c r="B560" s="5" t="s">
        <v>793</v>
      </c>
      <c r="C560" s="5" t="s">
        <v>7</v>
      </c>
      <c r="D560" s="49" t="s">
        <v>306</v>
      </c>
      <c r="E560" s="5" t="s">
        <v>457</v>
      </c>
      <c r="F560" s="6">
        <v>20000</v>
      </c>
      <c r="G560" s="6">
        <v>20000</v>
      </c>
      <c r="H560" s="7">
        <v>0</v>
      </c>
      <c r="I560" s="5" t="s">
        <v>424</v>
      </c>
      <c r="J560" s="5"/>
      <c r="K560" s="5"/>
    </row>
    <row r="561" spans="1:11" ht="15" thickBot="1" x14ac:dyDescent="0.35">
      <c r="A561" s="9">
        <v>45999</v>
      </c>
      <c r="B561" s="5" t="s">
        <v>794</v>
      </c>
      <c r="C561" s="5" t="s">
        <v>7</v>
      </c>
      <c r="D561" s="47" t="s">
        <v>287</v>
      </c>
      <c r="E561" s="5" t="s">
        <v>457</v>
      </c>
      <c r="F561" s="6">
        <v>20000</v>
      </c>
      <c r="G561" s="6">
        <v>10000</v>
      </c>
      <c r="H561" s="6">
        <v>10000</v>
      </c>
      <c r="I561" s="5" t="s">
        <v>616</v>
      </c>
      <c r="J561" s="5"/>
      <c r="K561" s="5"/>
    </row>
    <row r="562" spans="1:11" ht="15" thickBot="1" x14ac:dyDescent="0.35">
      <c r="A562" s="3" t="s">
        <v>771</v>
      </c>
      <c r="B562" s="5" t="s">
        <v>795</v>
      </c>
      <c r="C562" s="5" t="s">
        <v>7</v>
      </c>
      <c r="D562" s="47" t="s">
        <v>287</v>
      </c>
      <c r="E562" s="5" t="s">
        <v>457</v>
      </c>
      <c r="F562" s="6">
        <v>20000</v>
      </c>
      <c r="G562" s="6">
        <v>10000</v>
      </c>
      <c r="H562" s="6">
        <v>10000</v>
      </c>
      <c r="I562" s="5" t="s">
        <v>424</v>
      </c>
      <c r="J562" s="5"/>
      <c r="K562" s="5"/>
    </row>
    <row r="563" spans="1:11" ht="15" thickBot="1" x14ac:dyDescent="0.35">
      <c r="A563" s="3" t="s">
        <v>771</v>
      </c>
      <c r="B563" s="5" t="s">
        <v>796</v>
      </c>
      <c r="C563" s="5" t="s">
        <v>7</v>
      </c>
      <c r="D563" s="47" t="s">
        <v>287</v>
      </c>
      <c r="E563" s="5" t="s">
        <v>521</v>
      </c>
      <c r="F563" s="6">
        <v>20000</v>
      </c>
      <c r="G563" s="6">
        <v>10000</v>
      </c>
      <c r="H563" s="6">
        <v>10000</v>
      </c>
      <c r="I563" s="5" t="s">
        <v>797</v>
      </c>
      <c r="J563" s="5"/>
      <c r="K563" s="5"/>
    </row>
    <row r="564" spans="1:11" ht="15" thickBot="1" x14ac:dyDescent="0.35">
      <c r="A564" s="3" t="s">
        <v>771</v>
      </c>
      <c r="B564" s="5" t="s">
        <v>799</v>
      </c>
      <c r="C564" s="5" t="s">
        <v>7</v>
      </c>
      <c r="D564" s="47" t="s">
        <v>287</v>
      </c>
      <c r="E564" s="5" t="s">
        <v>8</v>
      </c>
      <c r="F564" s="6">
        <v>20000</v>
      </c>
      <c r="G564" s="6">
        <v>10000</v>
      </c>
      <c r="H564" s="6">
        <v>10000</v>
      </c>
      <c r="I564" s="5" t="s">
        <v>797</v>
      </c>
      <c r="J564" s="5"/>
      <c r="K564" s="5"/>
    </row>
    <row r="565" spans="1:11" ht="15" thickBot="1" x14ac:dyDescent="0.35">
      <c r="A565" s="3" t="s">
        <v>800</v>
      </c>
      <c r="B565" s="5" t="s">
        <v>801</v>
      </c>
      <c r="C565" s="5" t="s">
        <v>7</v>
      </c>
      <c r="D565" s="47" t="s">
        <v>287</v>
      </c>
      <c r="E565" s="5" t="s">
        <v>8</v>
      </c>
      <c r="F565" s="6">
        <v>20000</v>
      </c>
      <c r="G565" s="6">
        <v>10000</v>
      </c>
      <c r="H565" s="6">
        <v>10000</v>
      </c>
      <c r="I565" s="5" t="s">
        <v>797</v>
      </c>
      <c r="J565" s="5"/>
      <c r="K565" s="5"/>
    </row>
    <row r="566" spans="1:11" ht="15" thickBot="1" x14ac:dyDescent="0.35">
      <c r="A566" s="3" t="s">
        <v>787</v>
      </c>
      <c r="B566" s="5" t="s">
        <v>802</v>
      </c>
      <c r="C566" s="5" t="s">
        <v>7</v>
      </c>
      <c r="D566" s="47" t="s">
        <v>287</v>
      </c>
      <c r="E566" s="5" t="s">
        <v>8</v>
      </c>
      <c r="F566" s="6">
        <v>20000</v>
      </c>
      <c r="G566" s="6">
        <v>2000</v>
      </c>
      <c r="H566" s="6">
        <v>18000</v>
      </c>
      <c r="I566" s="5"/>
      <c r="J566" s="5"/>
      <c r="K566" s="5"/>
    </row>
    <row r="567" spans="1:11" ht="15" thickBot="1" x14ac:dyDescent="0.35">
      <c r="A567" s="3" t="s">
        <v>787</v>
      </c>
      <c r="B567" s="5" t="s">
        <v>803</v>
      </c>
      <c r="C567" s="5" t="s">
        <v>7</v>
      </c>
      <c r="D567" s="47" t="s">
        <v>287</v>
      </c>
      <c r="E567" s="5" t="s">
        <v>8</v>
      </c>
      <c r="F567" s="6">
        <v>20000</v>
      </c>
      <c r="G567" s="6">
        <v>2000</v>
      </c>
      <c r="H567" s="6">
        <v>18000</v>
      </c>
      <c r="I567" s="5"/>
      <c r="J567" s="5"/>
      <c r="K567" s="5"/>
    </row>
    <row r="568" spans="1:11" ht="15" thickBot="1" x14ac:dyDescent="0.35">
      <c r="A568" s="3" t="s">
        <v>804</v>
      </c>
      <c r="B568" s="5" t="s">
        <v>805</v>
      </c>
      <c r="C568" s="5" t="s">
        <v>7</v>
      </c>
      <c r="D568" s="47" t="s">
        <v>287</v>
      </c>
      <c r="E568" s="5" t="s">
        <v>8</v>
      </c>
      <c r="F568" s="6">
        <v>20000</v>
      </c>
      <c r="G568" s="6">
        <v>10000</v>
      </c>
      <c r="H568" s="6">
        <v>10000</v>
      </c>
      <c r="I568" s="5" t="s">
        <v>797</v>
      </c>
      <c r="J568" s="5"/>
      <c r="K568" s="5"/>
    </row>
    <row r="569" spans="1:11" ht="15" thickBot="1" x14ac:dyDescent="0.35">
      <c r="A569" s="3" t="s">
        <v>804</v>
      </c>
      <c r="B569" s="5" t="s">
        <v>806</v>
      </c>
      <c r="C569" s="5" t="s">
        <v>7</v>
      </c>
      <c r="D569" s="49" t="s">
        <v>306</v>
      </c>
      <c r="E569" s="5" t="s">
        <v>8</v>
      </c>
      <c r="F569" s="6">
        <v>20000</v>
      </c>
      <c r="G569" s="6">
        <v>10000</v>
      </c>
      <c r="H569" s="6">
        <v>10000</v>
      </c>
      <c r="I569" s="5" t="s">
        <v>64</v>
      </c>
      <c r="J569" s="5"/>
      <c r="K569" s="5"/>
    </row>
    <row r="570" spans="1:11" ht="15" thickBot="1" x14ac:dyDescent="0.35">
      <c r="A570" s="3" t="s">
        <v>807</v>
      </c>
      <c r="B570" s="5" t="s">
        <v>808</v>
      </c>
      <c r="C570" s="5" t="s">
        <v>7</v>
      </c>
      <c r="D570" s="47" t="s">
        <v>287</v>
      </c>
      <c r="E570" s="5" t="s">
        <v>457</v>
      </c>
      <c r="F570" s="6">
        <v>20000</v>
      </c>
      <c r="G570" s="6">
        <v>10000</v>
      </c>
      <c r="H570" s="6">
        <v>10000</v>
      </c>
      <c r="I570" s="5" t="s">
        <v>797</v>
      </c>
      <c r="J570" s="5"/>
      <c r="K570" s="5"/>
    </row>
    <row r="571" spans="1:11" ht="15" thickBot="1" x14ac:dyDescent="0.35">
      <c r="A571" s="3" t="s">
        <v>807</v>
      </c>
      <c r="B571" s="5" t="s">
        <v>809</v>
      </c>
      <c r="C571" s="5" t="s">
        <v>7</v>
      </c>
      <c r="D571" s="47" t="s">
        <v>287</v>
      </c>
      <c r="E571" s="5" t="s">
        <v>8</v>
      </c>
      <c r="F571" s="6">
        <v>20000</v>
      </c>
      <c r="G571" s="6">
        <v>3000</v>
      </c>
      <c r="H571" s="6">
        <v>17000</v>
      </c>
      <c r="I571" s="5"/>
      <c r="J571" s="5"/>
      <c r="K571" s="5"/>
    </row>
    <row r="572" spans="1:11" ht="15" thickBot="1" x14ac:dyDescent="0.35">
      <c r="A572" s="3" t="s">
        <v>798</v>
      </c>
      <c r="B572" s="5" t="s">
        <v>810</v>
      </c>
      <c r="C572" s="5" t="s">
        <v>7</v>
      </c>
      <c r="D572" s="47" t="s">
        <v>287</v>
      </c>
      <c r="E572" s="5" t="s">
        <v>457</v>
      </c>
      <c r="F572" s="6">
        <v>25000</v>
      </c>
      <c r="G572" s="6">
        <v>1500</v>
      </c>
      <c r="H572" s="6">
        <v>23500</v>
      </c>
      <c r="I572" s="5"/>
      <c r="J572" s="5"/>
      <c r="K572" s="5"/>
    </row>
    <row r="573" spans="1:11" ht="15" thickBot="1" x14ac:dyDescent="0.35">
      <c r="A573" s="3" t="s">
        <v>798</v>
      </c>
      <c r="B573" s="5" t="s">
        <v>811</v>
      </c>
      <c r="C573" s="5" t="s">
        <v>7</v>
      </c>
      <c r="D573" s="47" t="s">
        <v>287</v>
      </c>
      <c r="E573" s="5" t="s">
        <v>521</v>
      </c>
      <c r="F573" s="6">
        <v>25000</v>
      </c>
      <c r="G573" s="6">
        <v>2000</v>
      </c>
      <c r="H573" s="6">
        <v>23000</v>
      </c>
      <c r="I573" s="5"/>
      <c r="J573" s="5"/>
      <c r="K573" s="5"/>
    </row>
    <row r="574" spans="1:11" ht="15" thickBot="1" x14ac:dyDescent="0.35">
      <c r="A574" s="3" t="s">
        <v>798</v>
      </c>
      <c r="B574" s="5" t="s">
        <v>812</v>
      </c>
      <c r="C574" s="5" t="s">
        <v>7</v>
      </c>
      <c r="D574" s="47" t="s">
        <v>287</v>
      </c>
      <c r="E574" s="5" t="s">
        <v>8</v>
      </c>
      <c r="F574" s="6">
        <v>25000</v>
      </c>
      <c r="G574" s="6">
        <v>2000</v>
      </c>
      <c r="H574" s="6">
        <v>23000</v>
      </c>
      <c r="I574" s="5"/>
      <c r="J574" s="5"/>
      <c r="K574" s="5"/>
    </row>
    <row r="575" spans="1:11" ht="15" thickBot="1" x14ac:dyDescent="0.35">
      <c r="A575" s="3" t="s">
        <v>798</v>
      </c>
      <c r="B575" s="5" t="s">
        <v>813</v>
      </c>
      <c r="C575" s="5" t="s">
        <v>7</v>
      </c>
      <c r="D575" s="49" t="s">
        <v>306</v>
      </c>
      <c r="E575" s="5" t="s">
        <v>521</v>
      </c>
      <c r="F575" s="6">
        <v>25000</v>
      </c>
      <c r="G575" s="6">
        <v>3000</v>
      </c>
      <c r="H575" s="6">
        <v>22000</v>
      </c>
      <c r="I575" s="5"/>
      <c r="J575" s="5"/>
      <c r="K575" s="5"/>
    </row>
    <row r="576" spans="1:11" ht="15" thickBot="1" x14ac:dyDescent="0.35">
      <c r="A576" s="3" t="s">
        <v>798</v>
      </c>
      <c r="B576" s="5" t="s">
        <v>814</v>
      </c>
      <c r="C576" s="5" t="s">
        <v>7</v>
      </c>
      <c r="D576" s="47" t="s">
        <v>287</v>
      </c>
      <c r="E576" s="5" t="s">
        <v>521</v>
      </c>
      <c r="F576" s="6">
        <v>25000</v>
      </c>
      <c r="G576" s="6">
        <v>2000</v>
      </c>
      <c r="H576" s="6">
        <v>23000</v>
      </c>
      <c r="I576" s="5"/>
      <c r="J576" s="5"/>
      <c r="K576" s="5"/>
    </row>
    <row r="577" spans="1:11" ht="15" thickBot="1" x14ac:dyDescent="0.35">
      <c r="A577" s="3" t="s">
        <v>798</v>
      </c>
      <c r="B577" s="5" t="s">
        <v>815</v>
      </c>
      <c r="C577" s="5" t="s">
        <v>7</v>
      </c>
      <c r="D577" s="47" t="s">
        <v>287</v>
      </c>
      <c r="E577" s="5" t="s">
        <v>8</v>
      </c>
      <c r="F577" s="6">
        <v>25000</v>
      </c>
      <c r="G577" s="6">
        <v>12000</v>
      </c>
      <c r="H577" s="6">
        <v>13000</v>
      </c>
      <c r="I577" s="5" t="s">
        <v>797</v>
      </c>
      <c r="J577" s="5"/>
      <c r="K577" s="5"/>
    </row>
    <row r="578" spans="1:11" ht="15" thickBot="1" x14ac:dyDescent="0.35">
      <c r="A578" s="3" t="s">
        <v>798</v>
      </c>
      <c r="B578" s="5" t="s">
        <v>816</v>
      </c>
      <c r="C578" s="5" t="s">
        <v>7</v>
      </c>
      <c r="D578" s="47" t="s">
        <v>287</v>
      </c>
      <c r="E578" s="5" t="s">
        <v>521</v>
      </c>
      <c r="F578" s="6">
        <v>25000</v>
      </c>
      <c r="G578" s="6">
        <v>12500</v>
      </c>
      <c r="H578" s="6">
        <v>12500</v>
      </c>
      <c r="I578" s="5" t="s">
        <v>797</v>
      </c>
      <c r="J578" s="5"/>
      <c r="K578" s="5"/>
    </row>
    <row r="579" spans="1:11" ht="15" thickBot="1" x14ac:dyDescent="0.35">
      <c r="A579" s="3" t="s">
        <v>817</v>
      </c>
      <c r="B579" s="5" t="s">
        <v>818</v>
      </c>
      <c r="C579" s="5" t="s">
        <v>7</v>
      </c>
      <c r="D579" s="47" t="s">
        <v>287</v>
      </c>
      <c r="E579" s="5" t="s">
        <v>457</v>
      </c>
      <c r="F579" s="6">
        <v>25000</v>
      </c>
      <c r="G579" s="6">
        <v>12000</v>
      </c>
      <c r="H579" s="6">
        <v>13000</v>
      </c>
      <c r="I579" s="5" t="s">
        <v>797</v>
      </c>
      <c r="J579" s="5"/>
      <c r="K579" s="5"/>
    </row>
    <row r="580" spans="1:11" ht="15" thickBot="1" x14ac:dyDescent="0.35">
      <c r="A580" s="3" t="s">
        <v>819</v>
      </c>
      <c r="B580" s="5" t="s">
        <v>820</v>
      </c>
      <c r="C580" s="5" t="s">
        <v>7</v>
      </c>
      <c r="D580" s="47" t="s">
        <v>287</v>
      </c>
      <c r="E580" s="5" t="s">
        <v>8</v>
      </c>
      <c r="F580" s="6">
        <v>25000</v>
      </c>
      <c r="G580" s="6">
        <v>3000</v>
      </c>
      <c r="H580" s="6">
        <v>22000</v>
      </c>
      <c r="I580" s="5"/>
      <c r="J580" s="5"/>
      <c r="K580" s="5"/>
    </row>
    <row r="581" spans="1:11" ht="15" thickBot="1" x14ac:dyDescent="0.35">
      <c r="A581" s="9">
        <v>45969</v>
      </c>
      <c r="B581" s="55" t="s">
        <v>553</v>
      </c>
      <c r="C581" s="5" t="s">
        <v>7</v>
      </c>
      <c r="D581" s="47" t="s">
        <v>287</v>
      </c>
      <c r="E581" s="5" t="s">
        <v>457</v>
      </c>
      <c r="F581" s="6">
        <v>20000</v>
      </c>
      <c r="G581" s="6">
        <v>10000</v>
      </c>
      <c r="H581" s="6">
        <v>10000</v>
      </c>
      <c r="I581" s="5"/>
      <c r="J581" s="5"/>
      <c r="K581" s="33">
        <v>45906</v>
      </c>
    </row>
    <row r="582" spans="1:11" ht="15" thickBot="1" x14ac:dyDescent="0.35">
      <c r="A582" s="3" t="s">
        <v>821</v>
      </c>
      <c r="B582" s="5" t="s">
        <v>822</v>
      </c>
      <c r="C582" s="5" t="s">
        <v>7</v>
      </c>
      <c r="D582" s="47" t="s">
        <v>287</v>
      </c>
      <c r="E582" s="5" t="s">
        <v>457</v>
      </c>
      <c r="F582" s="6">
        <v>25000</v>
      </c>
      <c r="G582" s="6">
        <v>12500</v>
      </c>
      <c r="H582" s="6">
        <v>12500</v>
      </c>
      <c r="I582" s="5" t="s">
        <v>797</v>
      </c>
      <c r="J582" s="5"/>
      <c r="K582" s="5"/>
    </row>
    <row r="583" spans="1:11" ht="15" thickBot="1" x14ac:dyDescent="0.35">
      <c r="A583" s="3" t="s">
        <v>823</v>
      </c>
      <c r="B583" s="5" t="s">
        <v>824</v>
      </c>
      <c r="C583" s="5" t="s">
        <v>7</v>
      </c>
      <c r="D583" s="47" t="s">
        <v>287</v>
      </c>
      <c r="E583" s="5" t="s">
        <v>457</v>
      </c>
      <c r="F583" s="6">
        <v>25000</v>
      </c>
      <c r="G583" s="6">
        <v>12500</v>
      </c>
      <c r="H583" s="6">
        <v>12500</v>
      </c>
      <c r="I583" s="5" t="s">
        <v>797</v>
      </c>
      <c r="J583" s="5"/>
      <c r="K583" s="5"/>
    </row>
    <row r="584" spans="1:11" ht="15" thickBot="1" x14ac:dyDescent="0.35">
      <c r="A584" s="3" t="s">
        <v>823</v>
      </c>
      <c r="B584" s="5" t="s">
        <v>825</v>
      </c>
      <c r="C584" s="5" t="s">
        <v>7</v>
      </c>
      <c r="D584" s="49" t="s">
        <v>306</v>
      </c>
      <c r="E584" s="5" t="s">
        <v>8</v>
      </c>
      <c r="F584" s="6">
        <v>25000</v>
      </c>
      <c r="G584" s="6">
        <v>12500</v>
      </c>
      <c r="H584" s="6">
        <v>12500</v>
      </c>
      <c r="I584" s="5" t="s">
        <v>826</v>
      </c>
      <c r="J584" s="5"/>
      <c r="K584" s="5"/>
    </row>
    <row r="585" spans="1:11" ht="15" thickBot="1" x14ac:dyDescent="0.35">
      <c r="A585" s="3" t="s">
        <v>823</v>
      </c>
      <c r="B585" s="5" t="s">
        <v>827</v>
      </c>
      <c r="C585" s="5" t="s">
        <v>7</v>
      </c>
      <c r="D585" s="49" t="s">
        <v>306</v>
      </c>
      <c r="E585" s="5" t="s">
        <v>521</v>
      </c>
      <c r="F585" s="6">
        <v>25000</v>
      </c>
      <c r="G585" s="6">
        <v>12500</v>
      </c>
      <c r="H585" s="6">
        <v>12500</v>
      </c>
      <c r="I585" s="5" t="s">
        <v>797</v>
      </c>
      <c r="J585" s="5"/>
      <c r="K585" s="5"/>
    </row>
    <row r="586" spans="1:11" ht="15" thickBot="1" x14ac:dyDescent="0.35">
      <c r="A586" s="3" t="s">
        <v>823</v>
      </c>
      <c r="B586" s="5" t="s">
        <v>828</v>
      </c>
      <c r="C586" s="5" t="s">
        <v>7</v>
      </c>
      <c r="D586" s="47" t="s">
        <v>287</v>
      </c>
      <c r="E586" s="5" t="s">
        <v>457</v>
      </c>
      <c r="F586" s="6">
        <v>25000</v>
      </c>
      <c r="G586" s="6">
        <v>14500</v>
      </c>
      <c r="H586" s="6">
        <v>10500</v>
      </c>
      <c r="I586" s="5"/>
      <c r="J586" s="5"/>
      <c r="K586" s="5"/>
    </row>
    <row r="587" spans="1:11" ht="15" thickBot="1" x14ac:dyDescent="0.35">
      <c r="A587" s="3" t="s">
        <v>829</v>
      </c>
      <c r="B587" s="5" t="s">
        <v>550</v>
      </c>
      <c r="C587" s="5" t="s">
        <v>7</v>
      </c>
      <c r="D587" s="47" t="s">
        <v>287</v>
      </c>
      <c r="E587" s="5" t="s">
        <v>8</v>
      </c>
      <c r="F587" s="6">
        <v>25000</v>
      </c>
      <c r="G587" s="6">
        <v>12500</v>
      </c>
      <c r="H587" s="6">
        <v>12500</v>
      </c>
      <c r="I587" s="5" t="s">
        <v>797</v>
      </c>
      <c r="J587" s="5"/>
      <c r="K587" s="5"/>
    </row>
    <row r="588" spans="1:11" ht="15" thickBot="1" x14ac:dyDescent="0.35">
      <c r="A588" s="3" t="s">
        <v>830</v>
      </c>
      <c r="B588" s="5" t="s">
        <v>831</v>
      </c>
      <c r="C588" s="5" t="s">
        <v>7</v>
      </c>
      <c r="D588" s="47" t="s">
        <v>287</v>
      </c>
      <c r="E588" s="5" t="s">
        <v>521</v>
      </c>
      <c r="F588" s="6">
        <v>25000</v>
      </c>
      <c r="G588" s="6">
        <v>2000</v>
      </c>
      <c r="H588" s="6">
        <v>23000</v>
      </c>
      <c r="I588" s="5"/>
      <c r="J588" s="5"/>
      <c r="K588" s="5"/>
    </row>
    <row r="589" spans="1:11" ht="15" thickBot="1" x14ac:dyDescent="0.35">
      <c r="A589" s="3" t="s">
        <v>832</v>
      </c>
      <c r="B589" s="5" t="s">
        <v>833</v>
      </c>
      <c r="C589" s="5" t="s">
        <v>7</v>
      </c>
      <c r="D589" s="47" t="s">
        <v>287</v>
      </c>
      <c r="E589" s="5" t="s">
        <v>521</v>
      </c>
      <c r="F589" s="6">
        <v>25000</v>
      </c>
      <c r="G589" s="6">
        <v>14500</v>
      </c>
      <c r="H589" s="6">
        <v>10500</v>
      </c>
      <c r="I589" s="5" t="s">
        <v>826</v>
      </c>
      <c r="J589" s="5"/>
      <c r="K589" s="5"/>
    </row>
    <row r="590" spans="1:11" ht="15" thickBot="1" x14ac:dyDescent="0.35">
      <c r="A590" s="9">
        <v>45725</v>
      </c>
      <c r="B590" s="5" t="s">
        <v>834</v>
      </c>
      <c r="C590" s="5" t="s">
        <v>835</v>
      </c>
      <c r="D590" s="47" t="s">
        <v>287</v>
      </c>
      <c r="E590" s="5" t="s">
        <v>8</v>
      </c>
      <c r="F590" s="6">
        <v>25000</v>
      </c>
      <c r="G590" s="6">
        <v>12500</v>
      </c>
      <c r="H590" s="6">
        <v>12500</v>
      </c>
      <c r="I590" s="5"/>
      <c r="J590" s="5"/>
      <c r="K590" s="5"/>
    </row>
    <row r="591" spans="1:11" ht="15" thickBot="1" x14ac:dyDescent="0.35">
      <c r="A591" s="9">
        <v>45878</v>
      </c>
      <c r="B591" s="5" t="s">
        <v>836</v>
      </c>
      <c r="C591" s="5" t="s">
        <v>835</v>
      </c>
      <c r="D591" s="47" t="s">
        <v>287</v>
      </c>
      <c r="E591" s="5" t="s">
        <v>8</v>
      </c>
      <c r="F591" s="6">
        <v>25000</v>
      </c>
      <c r="G591" s="6">
        <v>3000</v>
      </c>
      <c r="H591" s="6">
        <v>22000</v>
      </c>
      <c r="I591" s="5"/>
      <c r="J591" s="5"/>
      <c r="K591" s="5"/>
    </row>
    <row r="592" spans="1:11" ht="15" thickBot="1" x14ac:dyDescent="0.35">
      <c r="A592" s="9">
        <v>45909</v>
      </c>
      <c r="B592" s="5" t="s">
        <v>837</v>
      </c>
      <c r="C592" s="5" t="s">
        <v>835</v>
      </c>
      <c r="D592" s="47" t="s">
        <v>287</v>
      </c>
      <c r="E592" s="5" t="s">
        <v>8</v>
      </c>
      <c r="F592" s="6">
        <v>25000</v>
      </c>
      <c r="G592" s="6">
        <v>1000</v>
      </c>
      <c r="H592" s="6">
        <v>24000</v>
      </c>
      <c r="I592" s="5"/>
      <c r="J592" s="5"/>
      <c r="K592" s="5"/>
    </row>
    <row r="593" spans="1:11" ht="15" thickBot="1" x14ac:dyDescent="0.35">
      <c r="A593" s="9">
        <v>45909</v>
      </c>
      <c r="B593" s="5" t="s">
        <v>838</v>
      </c>
      <c r="C593" s="5" t="s">
        <v>835</v>
      </c>
      <c r="D593" s="47" t="s">
        <v>287</v>
      </c>
      <c r="E593" s="5" t="s">
        <v>8</v>
      </c>
      <c r="F593" s="6">
        <v>25000</v>
      </c>
      <c r="G593" s="6">
        <v>15000</v>
      </c>
      <c r="H593" s="6">
        <v>10000</v>
      </c>
      <c r="I593" s="5" t="s">
        <v>797</v>
      </c>
      <c r="J593" s="5"/>
      <c r="K593" s="5"/>
    </row>
    <row r="594" spans="1:11" ht="15" thickBot="1" x14ac:dyDescent="0.35">
      <c r="A594" s="9">
        <v>45909</v>
      </c>
      <c r="B594" s="5" t="s">
        <v>839</v>
      </c>
      <c r="C594" s="5" t="s">
        <v>835</v>
      </c>
      <c r="D594" s="47" t="s">
        <v>287</v>
      </c>
      <c r="E594" s="5" t="s">
        <v>8</v>
      </c>
      <c r="F594" s="6">
        <v>25000</v>
      </c>
      <c r="G594" s="6">
        <v>10000</v>
      </c>
      <c r="H594" s="6">
        <v>15000</v>
      </c>
      <c r="I594" s="5" t="s">
        <v>826</v>
      </c>
      <c r="J594" s="5"/>
      <c r="K594" s="5"/>
    </row>
    <row r="595" spans="1:11" ht="15" thickBot="1" x14ac:dyDescent="0.35">
      <c r="A595" s="9">
        <v>45939</v>
      </c>
      <c r="B595" s="5" t="s">
        <v>840</v>
      </c>
      <c r="C595" s="5" t="s">
        <v>835</v>
      </c>
      <c r="D595" s="47" t="s">
        <v>287</v>
      </c>
      <c r="E595" s="5" t="s">
        <v>457</v>
      </c>
      <c r="F595" s="6">
        <v>25000</v>
      </c>
      <c r="G595" s="6">
        <v>10000</v>
      </c>
      <c r="H595" s="6">
        <v>15000</v>
      </c>
      <c r="I595" s="5" t="s">
        <v>797</v>
      </c>
      <c r="J595" s="5"/>
      <c r="K595" s="5"/>
    </row>
    <row r="596" spans="1:11" ht="15" thickBot="1" x14ac:dyDescent="0.35">
      <c r="A596" s="9">
        <v>45970</v>
      </c>
      <c r="B596" s="5" t="s">
        <v>841</v>
      </c>
      <c r="C596" s="5" t="s">
        <v>835</v>
      </c>
      <c r="D596" s="47" t="s">
        <v>287</v>
      </c>
      <c r="E596" s="5" t="s">
        <v>457</v>
      </c>
      <c r="F596" s="6">
        <v>20000</v>
      </c>
      <c r="G596" s="6">
        <v>1500</v>
      </c>
      <c r="H596" s="6">
        <v>18500</v>
      </c>
      <c r="I596" s="5"/>
      <c r="J596" s="5"/>
      <c r="K596" s="5"/>
    </row>
    <row r="597" spans="1:11" ht="15" thickBot="1" x14ac:dyDescent="0.35">
      <c r="A597" s="9">
        <v>46000</v>
      </c>
      <c r="B597" s="5" t="s">
        <v>843</v>
      </c>
      <c r="C597" s="5" t="s">
        <v>835</v>
      </c>
      <c r="D597" s="49" t="s">
        <v>306</v>
      </c>
      <c r="E597" s="5" t="s">
        <v>521</v>
      </c>
      <c r="F597" s="6">
        <v>20000</v>
      </c>
      <c r="G597" s="6">
        <v>2000</v>
      </c>
      <c r="H597" s="6">
        <v>18000</v>
      </c>
      <c r="I597" s="5"/>
      <c r="J597" s="5"/>
      <c r="K597" s="5"/>
    </row>
    <row r="598" spans="1:11" ht="15" thickBot="1" x14ac:dyDescent="0.35">
      <c r="A598" s="9">
        <v>46000</v>
      </c>
      <c r="B598" s="5" t="s">
        <v>844</v>
      </c>
      <c r="C598" s="5" t="s">
        <v>835</v>
      </c>
      <c r="D598" s="47" t="s">
        <v>287</v>
      </c>
      <c r="E598" s="5" t="s">
        <v>457</v>
      </c>
      <c r="F598" s="6">
        <v>20000</v>
      </c>
      <c r="G598" s="6">
        <v>10000</v>
      </c>
      <c r="H598" s="6">
        <v>10000</v>
      </c>
      <c r="I598" s="5" t="s">
        <v>797</v>
      </c>
      <c r="J598" s="5"/>
      <c r="K598" s="5"/>
    </row>
    <row r="599" spans="1:11" ht="15" thickBot="1" x14ac:dyDescent="0.35">
      <c r="A599" s="3" t="s">
        <v>845</v>
      </c>
      <c r="B599" s="5" t="s">
        <v>846</v>
      </c>
      <c r="C599" s="5" t="s">
        <v>835</v>
      </c>
      <c r="D599" s="47" t="s">
        <v>287</v>
      </c>
      <c r="E599" s="5" t="s">
        <v>457</v>
      </c>
      <c r="F599" s="6">
        <v>20000</v>
      </c>
      <c r="G599" s="6">
        <v>10000</v>
      </c>
      <c r="H599" s="6">
        <v>10000</v>
      </c>
      <c r="I599" s="5" t="s">
        <v>797</v>
      </c>
      <c r="J599" s="5"/>
      <c r="K599" s="5"/>
    </row>
    <row r="600" spans="1:11" ht="15" thickBot="1" x14ac:dyDescent="0.35">
      <c r="A600" s="3" t="s">
        <v>845</v>
      </c>
      <c r="B600" s="5" t="s">
        <v>847</v>
      </c>
      <c r="C600" s="5" t="s">
        <v>835</v>
      </c>
      <c r="D600" s="3" t="s">
        <v>5</v>
      </c>
      <c r="E600" s="5" t="s">
        <v>521</v>
      </c>
      <c r="F600" s="6">
        <v>20000</v>
      </c>
      <c r="G600" s="6">
        <v>10000</v>
      </c>
      <c r="H600" s="6">
        <v>10000</v>
      </c>
      <c r="I600" s="5" t="s">
        <v>0</v>
      </c>
      <c r="J600" s="5"/>
      <c r="K600" s="5"/>
    </row>
    <row r="601" spans="1:11" ht="15" thickBot="1" x14ac:dyDescent="0.35">
      <c r="A601" s="3" t="s">
        <v>845</v>
      </c>
      <c r="B601" s="5" t="s">
        <v>848</v>
      </c>
      <c r="C601" s="5" t="s">
        <v>835</v>
      </c>
      <c r="D601" s="47" t="s">
        <v>287</v>
      </c>
      <c r="E601" s="5" t="s">
        <v>521</v>
      </c>
      <c r="F601" s="6">
        <v>20000</v>
      </c>
      <c r="G601" s="6">
        <v>2000</v>
      </c>
      <c r="H601" s="6">
        <v>18000</v>
      </c>
      <c r="I601" s="5"/>
      <c r="J601" s="5"/>
      <c r="K601" s="5"/>
    </row>
    <row r="602" spans="1:11" ht="15" thickBot="1" x14ac:dyDescent="0.35">
      <c r="A602" s="3" t="s">
        <v>849</v>
      </c>
      <c r="B602" s="5" t="s">
        <v>850</v>
      </c>
      <c r="C602" s="5" t="s">
        <v>835</v>
      </c>
      <c r="D602" s="49" t="s">
        <v>306</v>
      </c>
      <c r="E602" s="5" t="s">
        <v>521</v>
      </c>
      <c r="F602" s="6">
        <v>20000</v>
      </c>
      <c r="G602" s="6">
        <v>10000</v>
      </c>
      <c r="H602" s="6">
        <v>10000</v>
      </c>
      <c r="I602" s="5"/>
      <c r="J602" s="5"/>
      <c r="K602" s="5"/>
    </row>
    <row r="603" spans="1:11" ht="15" thickBot="1" x14ac:dyDescent="0.35">
      <c r="A603" s="3" t="s">
        <v>849</v>
      </c>
      <c r="B603" s="5" t="s">
        <v>852</v>
      </c>
      <c r="C603" s="5" t="s">
        <v>835</v>
      </c>
      <c r="D603" s="49" t="s">
        <v>306</v>
      </c>
      <c r="E603" s="5" t="s">
        <v>521</v>
      </c>
      <c r="F603" s="6">
        <v>20000</v>
      </c>
      <c r="G603" s="6">
        <v>2000</v>
      </c>
      <c r="H603" s="6">
        <v>18000</v>
      </c>
      <c r="I603" s="5"/>
      <c r="J603" s="5"/>
      <c r="K603" s="5"/>
    </row>
    <row r="604" spans="1:11" ht="15" thickBot="1" x14ac:dyDescent="0.35">
      <c r="A604" s="3" t="s">
        <v>851</v>
      </c>
      <c r="B604" s="5" t="s">
        <v>853</v>
      </c>
      <c r="C604" s="5" t="s">
        <v>835</v>
      </c>
      <c r="D604" s="47" t="s">
        <v>287</v>
      </c>
      <c r="E604" s="5" t="s">
        <v>521</v>
      </c>
      <c r="F604" s="6">
        <v>20000</v>
      </c>
      <c r="G604" s="6">
        <v>2500</v>
      </c>
      <c r="H604" s="6">
        <v>17500</v>
      </c>
      <c r="I604" s="5"/>
      <c r="J604" s="5"/>
      <c r="K604" s="5"/>
    </row>
    <row r="605" spans="1:11" ht="15" thickBot="1" x14ac:dyDescent="0.35">
      <c r="A605" s="3" t="s">
        <v>854</v>
      </c>
      <c r="B605" s="5" t="s">
        <v>855</v>
      </c>
      <c r="C605" s="5" t="s">
        <v>835</v>
      </c>
      <c r="D605" s="49" t="s">
        <v>306</v>
      </c>
      <c r="E605" s="5" t="s">
        <v>8</v>
      </c>
      <c r="F605" s="6">
        <v>20000</v>
      </c>
      <c r="G605" s="6">
        <v>1000</v>
      </c>
      <c r="H605" s="6">
        <v>19000</v>
      </c>
      <c r="I605" s="5"/>
      <c r="J605" s="5"/>
      <c r="K605" s="5"/>
    </row>
    <row r="606" spans="1:11" ht="15" thickBot="1" x14ac:dyDescent="0.35">
      <c r="A606" s="3" t="s">
        <v>854</v>
      </c>
      <c r="B606" s="5" t="s">
        <v>856</v>
      </c>
      <c r="C606" s="5" t="s">
        <v>835</v>
      </c>
      <c r="D606" s="49" t="s">
        <v>306</v>
      </c>
      <c r="E606" s="5" t="s">
        <v>521</v>
      </c>
      <c r="F606" s="6">
        <v>20000</v>
      </c>
      <c r="G606" s="6">
        <v>1000</v>
      </c>
      <c r="H606" s="6">
        <v>19000</v>
      </c>
      <c r="I606" s="5"/>
      <c r="J606" s="5"/>
      <c r="K606" s="5"/>
    </row>
    <row r="607" spans="1:11" ht="15" thickBot="1" x14ac:dyDescent="0.35">
      <c r="A607" s="3" t="s">
        <v>857</v>
      </c>
      <c r="B607" s="5" t="s">
        <v>858</v>
      </c>
      <c r="C607" s="5" t="s">
        <v>835</v>
      </c>
      <c r="D607" s="47" t="s">
        <v>287</v>
      </c>
      <c r="E607" s="5" t="s">
        <v>457</v>
      </c>
      <c r="F607" s="6">
        <v>20000</v>
      </c>
      <c r="G607" s="6">
        <v>10000</v>
      </c>
      <c r="H607" s="6">
        <v>10000</v>
      </c>
      <c r="I607" s="5"/>
      <c r="J607" s="5"/>
      <c r="K607" s="5"/>
    </row>
    <row r="608" spans="1:11" ht="15" thickBot="1" x14ac:dyDescent="0.35">
      <c r="A608" s="3" t="s">
        <v>857</v>
      </c>
      <c r="B608" s="5" t="s">
        <v>494</v>
      </c>
      <c r="C608" s="5" t="s">
        <v>835</v>
      </c>
      <c r="D608" s="49" t="s">
        <v>306</v>
      </c>
      <c r="E608" s="5" t="s">
        <v>859</v>
      </c>
      <c r="F608" s="6">
        <v>20000</v>
      </c>
      <c r="G608" s="6">
        <v>10000</v>
      </c>
      <c r="H608" s="6">
        <v>10000</v>
      </c>
      <c r="I608" s="5"/>
      <c r="J608" s="5"/>
      <c r="K608" s="5"/>
    </row>
    <row r="609" spans="1:11" ht="15" thickBot="1" x14ac:dyDescent="0.35">
      <c r="A609" s="3" t="s">
        <v>860</v>
      </c>
      <c r="B609" s="5" t="s">
        <v>861</v>
      </c>
      <c r="C609" s="5" t="s">
        <v>835</v>
      </c>
      <c r="D609" s="3" t="s">
        <v>862</v>
      </c>
      <c r="E609" s="5" t="s">
        <v>457</v>
      </c>
      <c r="F609" s="6">
        <v>20000</v>
      </c>
      <c r="G609" s="6">
        <v>1000</v>
      </c>
      <c r="H609" s="6">
        <v>19000</v>
      </c>
      <c r="I609" s="5"/>
      <c r="J609" s="5"/>
      <c r="K609" s="5"/>
    </row>
    <row r="610" spans="1:11" ht="15" thickBot="1" x14ac:dyDescent="0.35">
      <c r="A610" s="3" t="s">
        <v>863</v>
      </c>
      <c r="B610" s="5" t="s">
        <v>864</v>
      </c>
      <c r="C610" s="5" t="s">
        <v>835</v>
      </c>
      <c r="D610" s="47" t="s">
        <v>287</v>
      </c>
      <c r="E610" s="5" t="s">
        <v>457</v>
      </c>
      <c r="F610" s="6">
        <v>20000</v>
      </c>
      <c r="G610" s="6">
        <v>7000</v>
      </c>
      <c r="H610" s="6">
        <v>13000</v>
      </c>
      <c r="I610" s="5"/>
      <c r="J610" s="5"/>
      <c r="K610" s="5"/>
    </row>
    <row r="611" spans="1:11" ht="15" thickBot="1" x14ac:dyDescent="0.35">
      <c r="A611" s="3" t="s">
        <v>863</v>
      </c>
      <c r="B611" s="5" t="s">
        <v>865</v>
      </c>
      <c r="C611" s="5" t="s">
        <v>835</v>
      </c>
      <c r="D611" s="47" t="s">
        <v>287</v>
      </c>
      <c r="E611" s="5" t="s">
        <v>457</v>
      </c>
      <c r="F611" s="6">
        <v>20000</v>
      </c>
      <c r="G611" s="6">
        <v>10000</v>
      </c>
      <c r="H611" s="6">
        <v>10000</v>
      </c>
      <c r="I611" s="5"/>
      <c r="J611" s="5"/>
      <c r="K611" s="5"/>
    </row>
    <row r="612" spans="1:11" ht="15" thickBot="1" x14ac:dyDescent="0.35">
      <c r="A612" s="3" t="s">
        <v>842</v>
      </c>
      <c r="B612" s="5" t="s">
        <v>866</v>
      </c>
      <c r="C612" s="5" t="s">
        <v>835</v>
      </c>
      <c r="D612" s="49" t="s">
        <v>306</v>
      </c>
      <c r="E612" s="5" t="s">
        <v>457</v>
      </c>
      <c r="F612" s="6">
        <v>20000</v>
      </c>
      <c r="G612" s="6">
        <v>10000</v>
      </c>
      <c r="H612" s="6">
        <v>10000</v>
      </c>
      <c r="I612" s="5"/>
      <c r="J612" s="5"/>
      <c r="K612" s="5"/>
    </row>
    <row r="613" spans="1:11" ht="15" thickBot="1" x14ac:dyDescent="0.35">
      <c r="A613" s="3" t="s">
        <v>842</v>
      </c>
      <c r="B613" s="5" t="s">
        <v>867</v>
      </c>
      <c r="C613" s="5" t="s">
        <v>835</v>
      </c>
      <c r="D613" s="47" t="s">
        <v>287</v>
      </c>
      <c r="E613" s="5" t="s">
        <v>859</v>
      </c>
      <c r="F613" s="6">
        <v>20000</v>
      </c>
      <c r="G613" s="6">
        <v>5000</v>
      </c>
      <c r="H613" s="6">
        <v>15000</v>
      </c>
      <c r="I613" s="5"/>
      <c r="J613" s="2" t="s">
        <v>868</v>
      </c>
      <c r="K613" s="5"/>
    </row>
    <row r="614" spans="1:11" ht="15" thickBot="1" x14ac:dyDescent="0.35">
      <c r="A614" s="3" t="s">
        <v>869</v>
      </c>
      <c r="B614" s="5" t="s">
        <v>870</v>
      </c>
      <c r="C614" s="5" t="s">
        <v>835</v>
      </c>
      <c r="D614" s="47" t="s">
        <v>287</v>
      </c>
      <c r="E614" s="5" t="s">
        <v>457</v>
      </c>
      <c r="F614" s="6">
        <v>20000</v>
      </c>
      <c r="G614" s="6">
        <v>10000</v>
      </c>
      <c r="H614" s="6">
        <v>10000</v>
      </c>
      <c r="I614" s="5"/>
      <c r="J614" s="5"/>
      <c r="K614" s="5"/>
    </row>
    <row r="615" spans="1:11" ht="15" thickBot="1" x14ac:dyDescent="0.35">
      <c r="A615" s="56" t="s">
        <v>869</v>
      </c>
      <c r="B615" s="57" t="s">
        <v>871</v>
      </c>
      <c r="C615" s="57" t="s">
        <v>835</v>
      </c>
      <c r="D615" s="58" t="s">
        <v>306</v>
      </c>
      <c r="E615" s="57" t="s">
        <v>859</v>
      </c>
      <c r="F615" s="59">
        <v>20000</v>
      </c>
      <c r="G615" s="59">
        <v>2000</v>
      </c>
      <c r="H615" s="59">
        <v>18000</v>
      </c>
      <c r="I615" s="57"/>
      <c r="J615" s="57"/>
      <c r="K615" s="57"/>
    </row>
    <row r="616" spans="1:11" ht="15" thickBot="1" x14ac:dyDescent="0.35">
      <c r="A616" s="3" t="s">
        <v>869</v>
      </c>
      <c r="B616" s="5" t="s">
        <v>872</v>
      </c>
      <c r="C616" s="5" t="s">
        <v>835</v>
      </c>
      <c r="D616" s="47" t="s">
        <v>287</v>
      </c>
      <c r="E616" s="5" t="s">
        <v>8</v>
      </c>
      <c r="F616" s="6">
        <v>20000</v>
      </c>
      <c r="G616" s="6">
        <v>10000</v>
      </c>
      <c r="H616" s="6">
        <v>10000</v>
      </c>
      <c r="I616" s="5"/>
      <c r="J616" s="5"/>
      <c r="K616" s="5"/>
    </row>
    <row r="617" spans="1:11" ht="15" thickBot="1" x14ac:dyDescent="0.35">
      <c r="A617" s="60" t="s">
        <v>873</v>
      </c>
      <c r="B617" s="61" t="s">
        <v>874</v>
      </c>
      <c r="C617" s="61" t="s">
        <v>835</v>
      </c>
      <c r="D617" s="62" t="s">
        <v>287</v>
      </c>
      <c r="E617" s="61" t="s">
        <v>8</v>
      </c>
      <c r="F617" s="63">
        <v>20000</v>
      </c>
      <c r="G617" s="63">
        <v>1000</v>
      </c>
      <c r="H617" s="63">
        <v>19000</v>
      </c>
      <c r="I617" s="61"/>
      <c r="J617" s="61"/>
      <c r="K617" s="61"/>
    </row>
    <row r="618" spans="1:11" ht="15" thickBot="1" x14ac:dyDescent="0.35">
      <c r="A618" s="3" t="s">
        <v>875</v>
      </c>
      <c r="B618" s="5" t="s">
        <v>876</v>
      </c>
      <c r="C618" s="5" t="s">
        <v>835</v>
      </c>
      <c r="D618" s="47" t="s">
        <v>287</v>
      </c>
      <c r="E618" s="5" t="s">
        <v>457</v>
      </c>
      <c r="F618" s="6">
        <v>20000</v>
      </c>
      <c r="G618" s="6">
        <v>2000</v>
      </c>
      <c r="H618" s="6">
        <v>18000</v>
      </c>
      <c r="I618" s="5"/>
      <c r="J618" s="5"/>
      <c r="K618" s="5"/>
    </row>
    <row r="619" spans="1:11" ht="15" thickBot="1" x14ac:dyDescent="0.35">
      <c r="A619" s="3" t="s">
        <v>875</v>
      </c>
      <c r="B619" s="5" t="s">
        <v>877</v>
      </c>
      <c r="C619" s="5" t="s">
        <v>835</v>
      </c>
      <c r="D619" s="47" t="s">
        <v>287</v>
      </c>
      <c r="E619" s="5" t="s">
        <v>521</v>
      </c>
      <c r="F619" s="6">
        <v>20000</v>
      </c>
      <c r="G619" s="6">
        <v>10000</v>
      </c>
      <c r="H619" s="6">
        <v>10000</v>
      </c>
      <c r="I619" s="5"/>
      <c r="J619" s="5"/>
      <c r="K619" s="5"/>
    </row>
    <row r="620" spans="1:11" ht="15" thickBot="1" x14ac:dyDescent="0.35">
      <c r="A620" s="3" t="s">
        <v>878</v>
      </c>
      <c r="B620" s="5" t="s">
        <v>879</v>
      </c>
      <c r="C620" s="5" t="s">
        <v>835</v>
      </c>
      <c r="D620" s="49" t="s">
        <v>306</v>
      </c>
      <c r="E620" s="5" t="s">
        <v>8</v>
      </c>
      <c r="F620" s="6">
        <v>20000</v>
      </c>
      <c r="G620" s="6">
        <v>5000</v>
      </c>
      <c r="H620" s="6">
        <v>15000</v>
      </c>
      <c r="I620" s="5"/>
      <c r="J620" s="2" t="s">
        <v>880</v>
      </c>
      <c r="K620" s="5"/>
    </row>
    <row r="621" spans="1:11" ht="15" thickBot="1" x14ac:dyDescent="0.35">
      <c r="A621" s="3" t="s">
        <v>878</v>
      </c>
      <c r="B621" s="5" t="s">
        <v>881</v>
      </c>
      <c r="C621" s="5" t="s">
        <v>835</v>
      </c>
      <c r="D621" s="47" t="s">
        <v>287</v>
      </c>
      <c r="E621" s="5" t="s">
        <v>8</v>
      </c>
      <c r="F621" s="6">
        <v>20000</v>
      </c>
      <c r="G621" s="6">
        <v>1000</v>
      </c>
      <c r="H621" s="6">
        <v>19000</v>
      </c>
      <c r="I621" s="5"/>
      <c r="J621" s="5"/>
      <c r="K621" s="5"/>
    </row>
    <row r="622" spans="1:11" ht="15" thickBot="1" x14ac:dyDescent="0.35">
      <c r="A622" s="3" t="s">
        <v>878</v>
      </c>
      <c r="B622" s="5" t="s">
        <v>882</v>
      </c>
      <c r="C622" s="5" t="s">
        <v>835</v>
      </c>
      <c r="D622" s="47" t="s">
        <v>287</v>
      </c>
      <c r="E622" s="5" t="s">
        <v>859</v>
      </c>
      <c r="F622" s="6">
        <v>20000</v>
      </c>
      <c r="G622" s="6">
        <v>4000</v>
      </c>
      <c r="H622" s="6">
        <v>16000</v>
      </c>
      <c r="I622" s="5"/>
      <c r="J622" s="5"/>
      <c r="K622" s="5"/>
    </row>
    <row r="623" spans="1:11" ht="15" thickBot="1" x14ac:dyDescent="0.35">
      <c r="A623" s="3" t="s">
        <v>878</v>
      </c>
      <c r="B623" s="5" t="s">
        <v>883</v>
      </c>
      <c r="C623" s="5" t="s">
        <v>835</v>
      </c>
      <c r="D623" s="47" t="s">
        <v>287</v>
      </c>
      <c r="E623" s="5" t="s">
        <v>521</v>
      </c>
      <c r="F623" s="6">
        <v>20000</v>
      </c>
      <c r="G623" s="6">
        <v>10000</v>
      </c>
      <c r="H623" s="6">
        <v>10000</v>
      </c>
      <c r="I623" s="5"/>
      <c r="J623" s="5"/>
      <c r="K623" s="5"/>
    </row>
    <row r="624" spans="1:11" ht="15" thickBot="1" x14ac:dyDescent="0.35">
      <c r="A624" s="3" t="s">
        <v>878</v>
      </c>
      <c r="B624" s="5" t="s">
        <v>884</v>
      </c>
      <c r="C624" s="5" t="s">
        <v>835</v>
      </c>
      <c r="D624" s="47" t="s">
        <v>287</v>
      </c>
      <c r="E624" s="5" t="s">
        <v>859</v>
      </c>
      <c r="F624" s="6">
        <v>20000</v>
      </c>
      <c r="G624" s="6">
        <v>4000</v>
      </c>
      <c r="H624" s="6">
        <v>16000</v>
      </c>
      <c r="I624" s="5"/>
      <c r="J624" s="5"/>
      <c r="K624" s="5"/>
    </row>
    <row r="625" spans="1:11" x14ac:dyDescent="0.3">
      <c r="A625" s="64" t="s">
        <v>885</v>
      </c>
      <c r="B625" s="65" t="s">
        <v>886</v>
      </c>
      <c r="C625" s="65" t="s">
        <v>835</v>
      </c>
      <c r="D625" s="66" t="s">
        <v>306</v>
      </c>
      <c r="E625" s="65" t="s">
        <v>8</v>
      </c>
      <c r="F625" s="67">
        <v>20000</v>
      </c>
      <c r="G625" s="67">
        <v>2000</v>
      </c>
      <c r="H625" s="67">
        <v>18000</v>
      </c>
      <c r="I625" s="65"/>
      <c r="J625" s="65"/>
      <c r="K625" s="65"/>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05F94-7913-480D-89A8-0B40AE735750}">
  <dimension ref="A3:N26"/>
  <sheetViews>
    <sheetView workbookViewId="0">
      <selection activeCell="H8" sqref="H8"/>
    </sheetView>
  </sheetViews>
  <sheetFormatPr defaultRowHeight="14.4" x14ac:dyDescent="0.3"/>
  <cols>
    <col min="1" max="1" width="10.77734375" bestFit="1" customWidth="1"/>
    <col min="2" max="2" width="12.5546875" bestFit="1" customWidth="1"/>
    <col min="3" max="3" width="21.109375" bestFit="1" customWidth="1"/>
    <col min="4" max="4" width="10.77734375" bestFit="1" customWidth="1"/>
    <col min="5" max="5" width="21.109375" bestFit="1" customWidth="1"/>
    <col min="6" max="7" width="3.109375" bestFit="1" customWidth="1"/>
    <col min="8" max="8" width="20.21875" bestFit="1" customWidth="1"/>
    <col min="9" max="10" width="21.109375" bestFit="1" customWidth="1"/>
    <col min="11" max="11" width="8.88671875" customWidth="1"/>
    <col min="13" max="13" width="10.77734375" bestFit="1" customWidth="1"/>
    <col min="14" max="14" width="21.109375" bestFit="1" customWidth="1"/>
  </cols>
  <sheetData>
    <row r="3" spans="1:14" x14ac:dyDescent="0.3">
      <c r="B3" t="s">
        <v>919</v>
      </c>
      <c r="D3" s="70"/>
      <c r="E3" s="70" t="s">
        <v>919</v>
      </c>
    </row>
    <row r="4" spans="1:14" x14ac:dyDescent="0.3">
      <c r="A4" s="69" t="s">
        <v>0</v>
      </c>
      <c r="B4">
        <v>24</v>
      </c>
      <c r="D4" s="69" t="s">
        <v>0</v>
      </c>
      <c r="E4">
        <f>IFERROR(GETPIVOTDATA("Student Name",$A$3,"Mode of study","OFFLINE"),0)</f>
        <v>24</v>
      </c>
    </row>
    <row r="5" spans="1:14" x14ac:dyDescent="0.3">
      <c r="A5" s="69" t="s">
        <v>19</v>
      </c>
      <c r="B5">
        <v>175</v>
      </c>
      <c r="D5" s="69" t="s">
        <v>19</v>
      </c>
      <c r="E5" cm="1">
        <f t="array" ref="E5">IFERROR(GETPIVOTDATA("Student Name",$A$3,"Mode of study","ONLINE"),NA)</f>
        <v>175</v>
      </c>
    </row>
    <row r="6" spans="1:14" x14ac:dyDescent="0.3">
      <c r="A6" s="69" t="s">
        <v>918</v>
      </c>
      <c r="B6">
        <v>199</v>
      </c>
      <c r="D6" s="71" t="s">
        <v>918</v>
      </c>
      <c r="E6" s="72" cm="1">
        <f t="array" ref="E6">IFERROR(GETPIVOTDATA("Student Name",$A$3),NA)</f>
        <v>199</v>
      </c>
    </row>
    <row r="7" spans="1:14" x14ac:dyDescent="0.3">
      <c r="H7" s="73" t="s">
        <v>910</v>
      </c>
      <c r="I7" t="s">
        <v>919</v>
      </c>
    </row>
    <row r="8" spans="1:14" x14ac:dyDescent="0.3">
      <c r="H8" s="69" t="s">
        <v>915</v>
      </c>
      <c r="I8" s="75">
        <v>52</v>
      </c>
    </row>
    <row r="9" spans="1:14" x14ac:dyDescent="0.3">
      <c r="H9" s="69" t="s">
        <v>914</v>
      </c>
      <c r="I9" s="75">
        <v>7</v>
      </c>
    </row>
    <row r="10" spans="1:14" x14ac:dyDescent="0.3">
      <c r="H10" s="69" t="s">
        <v>916</v>
      </c>
      <c r="I10" s="75">
        <v>33</v>
      </c>
    </row>
    <row r="11" spans="1:14" x14ac:dyDescent="0.3">
      <c r="H11" s="69" t="s">
        <v>917</v>
      </c>
      <c r="I11" s="75">
        <v>77</v>
      </c>
    </row>
    <row r="12" spans="1:14" x14ac:dyDescent="0.3">
      <c r="H12" s="69" t="s">
        <v>912</v>
      </c>
      <c r="I12" s="75">
        <v>11</v>
      </c>
    </row>
    <row r="13" spans="1:14" x14ac:dyDescent="0.3">
      <c r="H13" s="69" t="s">
        <v>913</v>
      </c>
      <c r="I13" s="75">
        <v>19</v>
      </c>
      <c r="M13" s="73" t="s">
        <v>933</v>
      </c>
      <c r="N13" t="s">
        <v>919</v>
      </c>
    </row>
    <row r="14" spans="1:14" x14ac:dyDescent="0.3">
      <c r="H14" s="69" t="s">
        <v>918</v>
      </c>
      <c r="I14" s="75">
        <v>199</v>
      </c>
      <c r="M14" s="69" t="s">
        <v>921</v>
      </c>
      <c r="N14">
        <v>22</v>
      </c>
    </row>
    <row r="15" spans="1:14" x14ac:dyDescent="0.3">
      <c r="M15" s="69" t="s">
        <v>922</v>
      </c>
      <c r="N15">
        <v>41</v>
      </c>
    </row>
    <row r="16" spans="1:14" x14ac:dyDescent="0.3">
      <c r="B16" s="73" t="s">
        <v>920</v>
      </c>
      <c r="C16" t="s">
        <v>919</v>
      </c>
      <c r="M16" s="69" t="s">
        <v>923</v>
      </c>
      <c r="N16">
        <v>53</v>
      </c>
    </row>
    <row r="17" spans="2:14" x14ac:dyDescent="0.3">
      <c r="B17" s="69" t="s">
        <v>902</v>
      </c>
      <c r="C17" s="75">
        <v>25</v>
      </c>
      <c r="M17" s="69" t="s">
        <v>924</v>
      </c>
      <c r="N17">
        <v>5</v>
      </c>
    </row>
    <row r="18" spans="2:14" x14ac:dyDescent="0.3">
      <c r="B18" s="69" t="s">
        <v>8</v>
      </c>
      <c r="C18" s="75">
        <v>46</v>
      </c>
      <c r="M18" s="69" t="s">
        <v>925</v>
      </c>
      <c r="N18">
        <v>4</v>
      </c>
    </row>
    <row r="19" spans="2:14" x14ac:dyDescent="0.3">
      <c r="B19" s="69" t="s">
        <v>10</v>
      </c>
      <c r="C19" s="75">
        <v>60</v>
      </c>
      <c r="H19" s="73" t="s">
        <v>920</v>
      </c>
      <c r="I19" t="s">
        <v>919</v>
      </c>
      <c r="M19" s="69" t="s">
        <v>926</v>
      </c>
      <c r="N19">
        <v>4</v>
      </c>
    </row>
    <row r="20" spans="2:14" x14ac:dyDescent="0.3">
      <c r="B20" s="69" t="s">
        <v>49</v>
      </c>
      <c r="C20" s="75">
        <v>68</v>
      </c>
      <c r="H20" s="69" t="s">
        <v>61</v>
      </c>
      <c r="I20" s="75">
        <v>91</v>
      </c>
      <c r="M20" s="69" t="s">
        <v>927</v>
      </c>
      <c r="N20">
        <v>13</v>
      </c>
    </row>
    <row r="21" spans="2:14" x14ac:dyDescent="0.3">
      <c r="B21" s="69" t="s">
        <v>918</v>
      </c>
      <c r="C21" s="75">
        <v>199</v>
      </c>
      <c r="H21" s="69" t="s">
        <v>2</v>
      </c>
      <c r="I21" s="75">
        <v>108</v>
      </c>
      <c r="M21" s="69" t="s">
        <v>928</v>
      </c>
      <c r="N21">
        <v>3</v>
      </c>
    </row>
    <row r="22" spans="2:14" x14ac:dyDescent="0.3">
      <c r="H22" s="69" t="s">
        <v>918</v>
      </c>
      <c r="I22" s="75">
        <v>199</v>
      </c>
      <c r="M22" s="69" t="s">
        <v>929</v>
      </c>
      <c r="N22">
        <v>5</v>
      </c>
    </row>
    <row r="23" spans="2:14" x14ac:dyDescent="0.3">
      <c r="M23" s="69" t="s">
        <v>930</v>
      </c>
      <c r="N23">
        <v>15</v>
      </c>
    </row>
    <row r="24" spans="2:14" x14ac:dyDescent="0.3">
      <c r="M24" s="69" t="s">
        <v>931</v>
      </c>
      <c r="N24">
        <v>10</v>
      </c>
    </row>
    <row r="25" spans="2:14" x14ac:dyDescent="0.3">
      <c r="M25" s="69" t="s">
        <v>932</v>
      </c>
      <c r="N25">
        <v>24</v>
      </c>
    </row>
    <row r="26" spans="2:14" x14ac:dyDescent="0.3">
      <c r="M26" s="69" t="s">
        <v>918</v>
      </c>
      <c r="N26">
        <v>199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7864C-378C-4BB8-9367-8506AD5C7737}">
  <dimension ref="A1:L200"/>
  <sheetViews>
    <sheetView workbookViewId="0">
      <selection activeCell="D12" sqref="D12"/>
    </sheetView>
  </sheetViews>
  <sheetFormatPr defaultRowHeight="14.4" x14ac:dyDescent="0.3"/>
  <cols>
    <col min="1" max="1" width="10.33203125" bestFit="1" customWidth="1"/>
    <col min="2" max="2" width="33.33203125" bestFit="1" customWidth="1"/>
    <col min="3" max="3" width="9.33203125" bestFit="1" customWidth="1"/>
    <col min="4" max="4" width="20.21875" bestFit="1" customWidth="1"/>
    <col min="5" max="5" width="22" bestFit="1" customWidth="1"/>
    <col min="6" max="6" width="15.6640625" bestFit="1" customWidth="1"/>
    <col min="7" max="7" width="8" bestFit="1" customWidth="1"/>
    <col min="8" max="8" width="9.5546875" bestFit="1" customWidth="1"/>
    <col min="9" max="9" width="17.88671875" bestFit="1" customWidth="1"/>
    <col min="10" max="10" width="11" bestFit="1" customWidth="1"/>
    <col min="11" max="11" width="10.109375" customWidth="1"/>
    <col min="12" max="13" width="16.5546875" bestFit="1" customWidth="1"/>
    <col min="14" max="14" width="14.21875" bestFit="1" customWidth="1"/>
    <col min="15" max="15" width="14.109375" bestFit="1" customWidth="1"/>
  </cols>
  <sheetData>
    <row r="1" spans="1:12" x14ac:dyDescent="0.3">
      <c r="A1" t="s">
        <v>888</v>
      </c>
      <c r="B1" t="s">
        <v>887</v>
      </c>
      <c r="C1" t="s">
        <v>897</v>
      </c>
      <c r="D1" t="s">
        <v>910</v>
      </c>
      <c r="E1" t="s">
        <v>900</v>
      </c>
      <c r="F1" t="s">
        <v>890</v>
      </c>
      <c r="G1" t="s">
        <v>895</v>
      </c>
      <c r="H1" t="s">
        <v>911</v>
      </c>
      <c r="I1" t="s">
        <v>892</v>
      </c>
      <c r="J1" t="s">
        <v>893</v>
      </c>
      <c r="K1" t="s">
        <v>908</v>
      </c>
      <c r="L1" t="s">
        <v>909</v>
      </c>
    </row>
    <row r="2" spans="1:12" x14ac:dyDescent="0.3">
      <c r="A2" s="68">
        <v>45302</v>
      </c>
      <c r="B2" t="s">
        <v>3</v>
      </c>
      <c r="C2" t="s">
        <v>898</v>
      </c>
      <c r="D2" t="s">
        <v>912</v>
      </c>
      <c r="E2" t="s">
        <v>4</v>
      </c>
      <c r="F2" t="s">
        <v>0</v>
      </c>
      <c r="G2" t="s">
        <v>901</v>
      </c>
      <c r="H2" t="s">
        <v>902</v>
      </c>
      <c r="I2">
        <v>25000</v>
      </c>
      <c r="J2">
        <v>25000</v>
      </c>
      <c r="K2">
        <v>0</v>
      </c>
      <c r="L2" t="s">
        <v>2</v>
      </c>
    </row>
    <row r="3" spans="1:12" x14ac:dyDescent="0.3">
      <c r="A3" s="68">
        <v>45302</v>
      </c>
      <c r="B3" t="s">
        <v>6</v>
      </c>
      <c r="C3" t="s">
        <v>898</v>
      </c>
      <c r="D3" t="s">
        <v>912</v>
      </c>
      <c r="E3" t="s">
        <v>7</v>
      </c>
      <c r="F3" t="s">
        <v>0</v>
      </c>
      <c r="G3" t="s">
        <v>901</v>
      </c>
      <c r="H3" t="s">
        <v>8</v>
      </c>
      <c r="I3">
        <v>12500</v>
      </c>
      <c r="J3">
        <v>10000</v>
      </c>
      <c r="K3">
        <v>2500</v>
      </c>
      <c r="L3" t="s">
        <v>61</v>
      </c>
    </row>
    <row r="4" spans="1:12" x14ac:dyDescent="0.3">
      <c r="A4" s="68">
        <v>45333</v>
      </c>
      <c r="B4" t="s">
        <v>9</v>
      </c>
      <c r="C4" t="s">
        <v>898</v>
      </c>
      <c r="D4" t="s">
        <v>912</v>
      </c>
      <c r="E4" t="s">
        <v>4</v>
      </c>
      <c r="F4" t="s">
        <v>0</v>
      </c>
      <c r="G4" t="s">
        <v>901</v>
      </c>
      <c r="H4" t="s">
        <v>10</v>
      </c>
      <c r="I4">
        <v>14750</v>
      </c>
      <c r="J4">
        <v>5000</v>
      </c>
      <c r="K4">
        <v>9750</v>
      </c>
      <c r="L4" t="s">
        <v>61</v>
      </c>
    </row>
    <row r="5" spans="1:12" x14ac:dyDescent="0.3">
      <c r="A5" s="68">
        <v>45424</v>
      </c>
      <c r="B5" t="s">
        <v>17</v>
      </c>
      <c r="C5" t="s">
        <v>898</v>
      </c>
      <c r="D5" t="s">
        <v>913</v>
      </c>
      <c r="E5" t="s">
        <v>18</v>
      </c>
      <c r="F5" t="s">
        <v>19</v>
      </c>
      <c r="G5" t="s">
        <v>903</v>
      </c>
      <c r="H5" t="s">
        <v>10</v>
      </c>
      <c r="I5">
        <v>10000</v>
      </c>
      <c r="J5">
        <v>7000</v>
      </c>
      <c r="K5">
        <v>3000</v>
      </c>
      <c r="L5" t="s">
        <v>61</v>
      </c>
    </row>
    <row r="6" spans="1:12" x14ac:dyDescent="0.3">
      <c r="A6" s="68">
        <v>45485</v>
      </c>
      <c r="B6" t="s">
        <v>25</v>
      </c>
      <c r="C6" t="s">
        <v>899</v>
      </c>
      <c r="D6" t="s">
        <v>914</v>
      </c>
      <c r="E6" t="s">
        <v>18</v>
      </c>
      <c r="F6" t="s">
        <v>0</v>
      </c>
      <c r="G6" t="s">
        <v>904</v>
      </c>
      <c r="H6" t="s">
        <v>10</v>
      </c>
      <c r="I6">
        <v>30000</v>
      </c>
      <c r="J6">
        <v>10000</v>
      </c>
      <c r="K6">
        <v>20000</v>
      </c>
      <c r="L6" t="s">
        <v>61</v>
      </c>
    </row>
    <row r="7" spans="1:12" x14ac:dyDescent="0.3">
      <c r="A7" s="68">
        <v>45485</v>
      </c>
      <c r="B7" t="s">
        <v>24</v>
      </c>
      <c r="C7" t="s">
        <v>898</v>
      </c>
      <c r="D7" t="s">
        <v>912</v>
      </c>
      <c r="E7" t="s">
        <v>18</v>
      </c>
      <c r="F7" t="s">
        <v>0</v>
      </c>
      <c r="G7" t="s">
        <v>901</v>
      </c>
      <c r="H7" t="s">
        <v>10</v>
      </c>
      <c r="I7">
        <v>12500</v>
      </c>
      <c r="J7">
        <v>5000</v>
      </c>
      <c r="K7">
        <v>7500</v>
      </c>
      <c r="L7" t="s">
        <v>61</v>
      </c>
    </row>
    <row r="8" spans="1:12" x14ac:dyDescent="0.3">
      <c r="A8" s="68">
        <v>45485</v>
      </c>
      <c r="B8" t="s">
        <v>21</v>
      </c>
      <c r="C8" t="s">
        <v>898</v>
      </c>
      <c r="D8" t="s">
        <v>913</v>
      </c>
      <c r="E8" t="s">
        <v>18</v>
      </c>
      <c r="F8" t="s">
        <v>19</v>
      </c>
      <c r="G8" t="s">
        <v>903</v>
      </c>
      <c r="H8" t="s">
        <v>10</v>
      </c>
      <c r="I8">
        <v>9000</v>
      </c>
      <c r="J8">
        <v>5000</v>
      </c>
      <c r="K8">
        <v>4000</v>
      </c>
      <c r="L8" t="s">
        <v>61</v>
      </c>
    </row>
    <row r="9" spans="1:12" x14ac:dyDescent="0.3">
      <c r="A9" s="68">
        <v>45485</v>
      </c>
      <c r="B9" t="s">
        <v>22</v>
      </c>
      <c r="C9" t="s">
        <v>899</v>
      </c>
      <c r="D9" t="s">
        <v>914</v>
      </c>
      <c r="E9" t="s">
        <v>18</v>
      </c>
      <c r="F9" t="s">
        <v>0</v>
      </c>
      <c r="G9" t="s">
        <v>904</v>
      </c>
      <c r="H9" t="s">
        <v>10</v>
      </c>
      <c r="I9">
        <v>30000</v>
      </c>
      <c r="J9">
        <v>20000</v>
      </c>
      <c r="K9">
        <v>10000</v>
      </c>
      <c r="L9" t="s">
        <v>61</v>
      </c>
    </row>
    <row r="10" spans="1:12" x14ac:dyDescent="0.3">
      <c r="A10" s="68">
        <v>45546</v>
      </c>
      <c r="B10" t="s">
        <v>11</v>
      </c>
      <c r="C10" t="s">
        <v>898</v>
      </c>
      <c r="D10" t="s">
        <v>912</v>
      </c>
      <c r="E10" t="s">
        <v>4</v>
      </c>
      <c r="F10" t="s">
        <v>0</v>
      </c>
      <c r="G10" t="s">
        <v>901</v>
      </c>
      <c r="H10" t="s">
        <v>10</v>
      </c>
      <c r="I10">
        <v>12500</v>
      </c>
      <c r="J10">
        <v>5000</v>
      </c>
      <c r="K10">
        <v>7500</v>
      </c>
      <c r="L10" t="s">
        <v>61</v>
      </c>
    </row>
    <row r="11" spans="1:12" x14ac:dyDescent="0.3">
      <c r="A11" s="68">
        <v>45577</v>
      </c>
      <c r="B11" t="s">
        <v>26</v>
      </c>
      <c r="C11" t="s">
        <v>899</v>
      </c>
      <c r="D11" t="s">
        <v>914</v>
      </c>
      <c r="E11" t="s">
        <v>18</v>
      </c>
      <c r="F11" t="s">
        <v>0</v>
      </c>
      <c r="G11" t="s">
        <v>904</v>
      </c>
      <c r="H11" t="s">
        <v>10</v>
      </c>
      <c r="I11">
        <v>12500</v>
      </c>
      <c r="J11">
        <v>12500</v>
      </c>
      <c r="K11">
        <v>0</v>
      </c>
      <c r="L11" t="s">
        <v>2</v>
      </c>
    </row>
    <row r="12" spans="1:12" x14ac:dyDescent="0.3">
      <c r="A12" s="68">
        <v>45608</v>
      </c>
      <c r="B12" t="s">
        <v>28</v>
      </c>
      <c r="C12" t="s">
        <v>898</v>
      </c>
      <c r="D12" t="s">
        <v>915</v>
      </c>
      <c r="E12" t="s">
        <v>18</v>
      </c>
      <c r="F12" t="s">
        <v>19</v>
      </c>
      <c r="G12" t="s">
        <v>905</v>
      </c>
      <c r="H12" t="s">
        <v>902</v>
      </c>
      <c r="I12">
        <v>10000</v>
      </c>
      <c r="J12">
        <v>10000</v>
      </c>
      <c r="K12">
        <v>0</v>
      </c>
      <c r="L12" t="s">
        <v>2</v>
      </c>
    </row>
    <row r="13" spans="1:12" x14ac:dyDescent="0.3">
      <c r="A13" s="68">
        <v>45620</v>
      </c>
      <c r="B13" t="s">
        <v>14</v>
      </c>
      <c r="C13" t="s">
        <v>898</v>
      </c>
      <c r="D13" t="s">
        <v>912</v>
      </c>
      <c r="E13" t="s">
        <v>4</v>
      </c>
      <c r="F13" t="s">
        <v>0</v>
      </c>
      <c r="G13" t="s">
        <v>901</v>
      </c>
      <c r="H13" t="s">
        <v>10</v>
      </c>
      <c r="I13">
        <v>12500</v>
      </c>
      <c r="J13">
        <v>7500</v>
      </c>
      <c r="K13">
        <v>5000</v>
      </c>
      <c r="L13" t="s">
        <v>61</v>
      </c>
    </row>
    <row r="14" spans="1:12" x14ac:dyDescent="0.3">
      <c r="A14" s="68">
        <v>45626</v>
      </c>
      <c r="B14" t="s">
        <v>16</v>
      </c>
      <c r="C14" t="s">
        <v>899</v>
      </c>
      <c r="D14" t="s">
        <v>912</v>
      </c>
      <c r="E14" t="s">
        <v>4</v>
      </c>
      <c r="F14" t="s">
        <v>0</v>
      </c>
      <c r="G14" t="s">
        <v>901</v>
      </c>
      <c r="H14" t="s">
        <v>902</v>
      </c>
      <c r="I14">
        <v>12500</v>
      </c>
      <c r="J14">
        <v>12500</v>
      </c>
      <c r="K14">
        <v>0</v>
      </c>
      <c r="L14" t="s">
        <v>2</v>
      </c>
    </row>
    <row r="15" spans="1:12" x14ac:dyDescent="0.3">
      <c r="A15" s="68">
        <v>45639</v>
      </c>
      <c r="B15" t="s">
        <v>32</v>
      </c>
      <c r="C15" t="s">
        <v>898</v>
      </c>
      <c r="D15" t="s">
        <v>916</v>
      </c>
      <c r="E15" t="s">
        <v>18</v>
      </c>
      <c r="F15" t="s">
        <v>0</v>
      </c>
      <c r="G15" t="s">
        <v>906</v>
      </c>
      <c r="H15" t="s">
        <v>10</v>
      </c>
      <c r="I15">
        <v>10000</v>
      </c>
      <c r="J15">
        <v>2500</v>
      </c>
      <c r="K15">
        <v>7500</v>
      </c>
      <c r="L15" t="s">
        <v>61</v>
      </c>
    </row>
    <row r="16" spans="1:12" x14ac:dyDescent="0.3">
      <c r="A16" s="68">
        <v>45639</v>
      </c>
      <c r="B16" t="s">
        <v>34</v>
      </c>
      <c r="C16" t="s">
        <v>898</v>
      </c>
      <c r="D16" t="s">
        <v>915</v>
      </c>
      <c r="E16" t="s">
        <v>18</v>
      </c>
      <c r="F16" t="s">
        <v>19</v>
      </c>
      <c r="G16" t="s">
        <v>905</v>
      </c>
      <c r="H16" t="s">
        <v>902</v>
      </c>
      <c r="I16">
        <v>10000</v>
      </c>
      <c r="J16">
        <v>10000</v>
      </c>
      <c r="K16">
        <v>0</v>
      </c>
      <c r="L16" t="s">
        <v>2</v>
      </c>
    </row>
    <row r="17" spans="1:12" x14ac:dyDescent="0.3">
      <c r="A17" s="68">
        <v>45639</v>
      </c>
      <c r="B17" t="s">
        <v>35</v>
      </c>
      <c r="C17" t="s">
        <v>898</v>
      </c>
      <c r="D17" t="s">
        <v>915</v>
      </c>
      <c r="E17" t="s">
        <v>18</v>
      </c>
      <c r="F17" t="s">
        <v>19</v>
      </c>
      <c r="G17" t="s">
        <v>905</v>
      </c>
      <c r="H17" t="s">
        <v>902</v>
      </c>
      <c r="I17">
        <v>10000</v>
      </c>
      <c r="J17">
        <v>10000</v>
      </c>
      <c r="K17">
        <v>0</v>
      </c>
      <c r="L17" t="s">
        <v>2</v>
      </c>
    </row>
    <row r="18" spans="1:12" x14ac:dyDescent="0.3">
      <c r="A18" s="68">
        <v>45640</v>
      </c>
      <c r="B18" t="s">
        <v>37</v>
      </c>
      <c r="C18" t="s">
        <v>898</v>
      </c>
      <c r="D18" t="s">
        <v>915</v>
      </c>
      <c r="E18" t="s">
        <v>18</v>
      </c>
      <c r="F18" t="s">
        <v>19</v>
      </c>
      <c r="G18" t="s">
        <v>905</v>
      </c>
      <c r="H18" t="s">
        <v>10</v>
      </c>
      <c r="I18">
        <v>10030</v>
      </c>
      <c r="J18">
        <v>5000</v>
      </c>
      <c r="K18">
        <v>5030</v>
      </c>
      <c r="L18" t="s">
        <v>61</v>
      </c>
    </row>
    <row r="19" spans="1:12" x14ac:dyDescent="0.3">
      <c r="A19" s="68">
        <v>45640</v>
      </c>
      <c r="B19" t="s">
        <v>38</v>
      </c>
      <c r="C19" t="s">
        <v>898</v>
      </c>
      <c r="D19" t="s">
        <v>915</v>
      </c>
      <c r="E19" t="s">
        <v>18</v>
      </c>
      <c r="F19" t="s">
        <v>19</v>
      </c>
      <c r="G19" t="s">
        <v>905</v>
      </c>
      <c r="H19" t="s">
        <v>902</v>
      </c>
      <c r="I19">
        <v>11800</v>
      </c>
      <c r="J19">
        <v>11800</v>
      </c>
      <c r="K19">
        <v>0</v>
      </c>
      <c r="L19" t="s">
        <v>2</v>
      </c>
    </row>
    <row r="20" spans="1:12" x14ac:dyDescent="0.3">
      <c r="A20" s="68">
        <v>45640</v>
      </c>
      <c r="B20" t="s">
        <v>39</v>
      </c>
      <c r="C20" t="s">
        <v>898</v>
      </c>
      <c r="D20" t="s">
        <v>916</v>
      </c>
      <c r="E20" t="s">
        <v>18</v>
      </c>
      <c r="F20" t="s">
        <v>0</v>
      </c>
      <c r="G20" t="s">
        <v>906</v>
      </c>
      <c r="H20" t="s">
        <v>10</v>
      </c>
      <c r="I20">
        <v>25000</v>
      </c>
      <c r="J20">
        <v>1000</v>
      </c>
      <c r="K20">
        <v>24000</v>
      </c>
      <c r="L20" t="s">
        <v>61</v>
      </c>
    </row>
    <row r="21" spans="1:12" x14ac:dyDescent="0.3">
      <c r="A21" s="68">
        <v>45641</v>
      </c>
      <c r="B21" t="s">
        <v>41</v>
      </c>
      <c r="C21" t="s">
        <v>898</v>
      </c>
      <c r="D21" t="s">
        <v>915</v>
      </c>
      <c r="E21" t="s">
        <v>18</v>
      </c>
      <c r="F21" t="s">
        <v>19</v>
      </c>
      <c r="G21" t="s">
        <v>905</v>
      </c>
      <c r="H21" t="s">
        <v>10</v>
      </c>
      <c r="I21">
        <v>11800</v>
      </c>
      <c r="J21">
        <v>2000</v>
      </c>
      <c r="K21">
        <v>9800</v>
      </c>
      <c r="L21" t="s">
        <v>61</v>
      </c>
    </row>
    <row r="22" spans="1:12" x14ac:dyDescent="0.3">
      <c r="A22" s="68">
        <v>45642</v>
      </c>
      <c r="B22" t="s">
        <v>43</v>
      </c>
      <c r="C22" t="s">
        <v>898</v>
      </c>
      <c r="D22" t="s">
        <v>913</v>
      </c>
      <c r="E22" t="s">
        <v>18</v>
      </c>
      <c r="F22" t="s">
        <v>19</v>
      </c>
      <c r="G22" t="s">
        <v>903</v>
      </c>
      <c r="H22" t="s">
        <v>902</v>
      </c>
      <c r="I22">
        <v>11800</v>
      </c>
      <c r="J22">
        <v>11800</v>
      </c>
      <c r="K22">
        <v>0</v>
      </c>
      <c r="L22" t="s">
        <v>2</v>
      </c>
    </row>
    <row r="23" spans="1:12" x14ac:dyDescent="0.3">
      <c r="A23" s="68">
        <v>45642</v>
      </c>
      <c r="B23" t="s">
        <v>44</v>
      </c>
      <c r="C23" t="s">
        <v>898</v>
      </c>
      <c r="D23" t="s">
        <v>915</v>
      </c>
      <c r="E23" t="s">
        <v>18</v>
      </c>
      <c r="F23" t="s">
        <v>19</v>
      </c>
      <c r="G23" t="s">
        <v>905</v>
      </c>
      <c r="H23" t="s">
        <v>902</v>
      </c>
      <c r="I23">
        <v>10000</v>
      </c>
      <c r="J23">
        <v>10000</v>
      </c>
      <c r="K23">
        <v>0</v>
      </c>
      <c r="L23" t="s">
        <v>2</v>
      </c>
    </row>
    <row r="24" spans="1:12" x14ac:dyDescent="0.3">
      <c r="A24" s="68">
        <v>45647</v>
      </c>
      <c r="B24" t="s">
        <v>46</v>
      </c>
      <c r="C24" t="s">
        <v>898</v>
      </c>
      <c r="D24" t="s">
        <v>916</v>
      </c>
      <c r="E24" t="s">
        <v>18</v>
      </c>
      <c r="F24" t="s">
        <v>19</v>
      </c>
      <c r="G24" t="s">
        <v>906</v>
      </c>
      <c r="H24" t="s">
        <v>10</v>
      </c>
      <c r="I24">
        <v>11800</v>
      </c>
      <c r="J24">
        <v>4000</v>
      </c>
      <c r="K24">
        <v>7800</v>
      </c>
      <c r="L24" t="s">
        <v>61</v>
      </c>
    </row>
    <row r="25" spans="1:12" x14ac:dyDescent="0.3">
      <c r="A25" s="68">
        <v>45649</v>
      </c>
      <c r="B25" t="s">
        <v>50</v>
      </c>
      <c r="C25" t="s">
        <v>898</v>
      </c>
      <c r="D25" t="s">
        <v>914</v>
      </c>
      <c r="E25" t="s">
        <v>18</v>
      </c>
      <c r="F25" t="s">
        <v>0</v>
      </c>
      <c r="G25" t="s">
        <v>904</v>
      </c>
      <c r="H25" t="s">
        <v>49</v>
      </c>
      <c r="I25">
        <v>35400</v>
      </c>
      <c r="J25">
        <v>7500</v>
      </c>
      <c r="K25">
        <v>27900</v>
      </c>
      <c r="L25" t="s">
        <v>61</v>
      </c>
    </row>
    <row r="26" spans="1:12" x14ac:dyDescent="0.3">
      <c r="A26" s="68">
        <v>45649</v>
      </c>
      <c r="B26" t="s">
        <v>51</v>
      </c>
      <c r="C26" t="s">
        <v>898</v>
      </c>
      <c r="D26" t="s">
        <v>916</v>
      </c>
      <c r="E26" t="s">
        <v>18</v>
      </c>
      <c r="F26" t="s">
        <v>19</v>
      </c>
      <c r="G26" t="s">
        <v>906</v>
      </c>
      <c r="H26" t="s">
        <v>49</v>
      </c>
      <c r="I26">
        <v>11800</v>
      </c>
      <c r="J26">
        <v>2000</v>
      </c>
      <c r="K26">
        <v>9800</v>
      </c>
      <c r="L26" t="s">
        <v>61</v>
      </c>
    </row>
    <row r="27" spans="1:12" x14ac:dyDescent="0.3">
      <c r="A27" s="68">
        <v>45649</v>
      </c>
      <c r="B27" t="s">
        <v>48</v>
      </c>
      <c r="C27" t="s">
        <v>898</v>
      </c>
      <c r="D27" t="s">
        <v>914</v>
      </c>
      <c r="E27" t="s">
        <v>18</v>
      </c>
      <c r="F27" t="s">
        <v>0</v>
      </c>
      <c r="G27" t="s">
        <v>904</v>
      </c>
      <c r="H27" t="s">
        <v>49</v>
      </c>
      <c r="I27">
        <v>35400</v>
      </c>
      <c r="J27">
        <v>5000</v>
      </c>
      <c r="K27">
        <v>30400</v>
      </c>
      <c r="L27" t="s">
        <v>61</v>
      </c>
    </row>
    <row r="28" spans="1:12" x14ac:dyDescent="0.3">
      <c r="A28" s="68">
        <v>45651</v>
      </c>
      <c r="B28" t="s">
        <v>53</v>
      </c>
      <c r="C28" t="s">
        <v>898</v>
      </c>
      <c r="D28" t="s">
        <v>912</v>
      </c>
      <c r="E28" t="s">
        <v>18</v>
      </c>
      <c r="F28" t="s">
        <v>0</v>
      </c>
      <c r="G28" t="s">
        <v>901</v>
      </c>
      <c r="H28" t="s">
        <v>49</v>
      </c>
      <c r="I28">
        <v>14750</v>
      </c>
      <c r="J28">
        <v>2000</v>
      </c>
      <c r="K28">
        <v>12750</v>
      </c>
      <c r="L28" t="s">
        <v>61</v>
      </c>
    </row>
    <row r="29" spans="1:12" x14ac:dyDescent="0.3">
      <c r="A29" s="68">
        <v>45651</v>
      </c>
      <c r="B29" t="s">
        <v>54</v>
      </c>
      <c r="C29" t="s">
        <v>898</v>
      </c>
      <c r="D29" t="s">
        <v>915</v>
      </c>
      <c r="E29" t="s">
        <v>18</v>
      </c>
      <c r="F29" t="s">
        <v>0</v>
      </c>
      <c r="G29" t="s">
        <v>905</v>
      </c>
      <c r="H29" t="s">
        <v>49</v>
      </c>
      <c r="I29">
        <v>29500</v>
      </c>
      <c r="J29">
        <v>20000</v>
      </c>
      <c r="K29">
        <v>9500</v>
      </c>
      <c r="L29" t="s">
        <v>61</v>
      </c>
    </row>
    <row r="30" spans="1:12" x14ac:dyDescent="0.3">
      <c r="A30" s="68">
        <v>45651</v>
      </c>
      <c r="B30" t="s">
        <v>55</v>
      </c>
      <c r="C30" t="s">
        <v>899</v>
      </c>
      <c r="D30" t="s">
        <v>913</v>
      </c>
      <c r="E30" t="s">
        <v>18</v>
      </c>
      <c r="F30" t="s">
        <v>19</v>
      </c>
      <c r="G30" t="s">
        <v>903</v>
      </c>
      <c r="H30" t="s">
        <v>902</v>
      </c>
      <c r="I30">
        <v>11800</v>
      </c>
      <c r="J30">
        <v>11800</v>
      </c>
      <c r="K30">
        <v>0</v>
      </c>
      <c r="L30" t="s">
        <v>2</v>
      </c>
    </row>
    <row r="31" spans="1:12" x14ac:dyDescent="0.3">
      <c r="A31" s="68">
        <v>45652</v>
      </c>
      <c r="B31" t="s">
        <v>58</v>
      </c>
      <c r="C31" t="s">
        <v>898</v>
      </c>
      <c r="D31" t="s">
        <v>915</v>
      </c>
      <c r="E31" t="s">
        <v>18</v>
      </c>
      <c r="F31" t="s">
        <v>19</v>
      </c>
      <c r="G31" t="s">
        <v>905</v>
      </c>
      <c r="H31" t="s">
        <v>902</v>
      </c>
      <c r="I31">
        <v>11800</v>
      </c>
      <c r="J31">
        <v>11800</v>
      </c>
      <c r="K31">
        <v>0</v>
      </c>
      <c r="L31" t="s">
        <v>2</v>
      </c>
    </row>
    <row r="32" spans="1:12" x14ac:dyDescent="0.3">
      <c r="A32" s="68">
        <v>45657</v>
      </c>
      <c r="B32" t="s">
        <v>63</v>
      </c>
      <c r="C32" t="s">
        <v>899</v>
      </c>
      <c r="D32" t="s">
        <v>915</v>
      </c>
      <c r="E32" t="s">
        <v>18</v>
      </c>
      <c r="F32" t="s">
        <v>19</v>
      </c>
      <c r="G32" t="s">
        <v>905</v>
      </c>
      <c r="H32" t="s">
        <v>902</v>
      </c>
      <c r="I32">
        <v>11800</v>
      </c>
      <c r="J32">
        <v>11800</v>
      </c>
      <c r="K32">
        <v>0</v>
      </c>
      <c r="L32" t="s">
        <v>2</v>
      </c>
    </row>
    <row r="33" spans="1:12" x14ac:dyDescent="0.3">
      <c r="A33" s="68">
        <v>45657</v>
      </c>
      <c r="B33" t="s">
        <v>65</v>
      </c>
      <c r="C33" t="s">
        <v>898</v>
      </c>
      <c r="D33" t="s">
        <v>915</v>
      </c>
      <c r="E33" t="s">
        <v>18</v>
      </c>
      <c r="F33" t="s">
        <v>19</v>
      </c>
      <c r="G33" t="s">
        <v>905</v>
      </c>
      <c r="H33" t="s">
        <v>902</v>
      </c>
      <c r="I33">
        <v>11800</v>
      </c>
      <c r="J33">
        <v>11800</v>
      </c>
      <c r="K33">
        <v>0</v>
      </c>
      <c r="L33" t="s">
        <v>2</v>
      </c>
    </row>
    <row r="34" spans="1:12" x14ac:dyDescent="0.3">
      <c r="A34" s="68">
        <v>45658</v>
      </c>
      <c r="B34" t="s">
        <v>66</v>
      </c>
      <c r="C34" t="s">
        <v>898</v>
      </c>
      <c r="D34" t="s">
        <v>913</v>
      </c>
      <c r="E34" t="s">
        <v>67</v>
      </c>
      <c r="F34" t="s">
        <v>19</v>
      </c>
      <c r="G34" t="s">
        <v>903</v>
      </c>
      <c r="H34" t="s">
        <v>49</v>
      </c>
      <c r="I34">
        <v>11800</v>
      </c>
      <c r="J34">
        <v>7000</v>
      </c>
      <c r="K34">
        <v>4800</v>
      </c>
      <c r="L34" t="s">
        <v>61</v>
      </c>
    </row>
    <row r="35" spans="1:12" x14ac:dyDescent="0.3">
      <c r="A35" s="68">
        <v>45660</v>
      </c>
      <c r="B35" t="s">
        <v>188</v>
      </c>
      <c r="C35" t="s">
        <v>898</v>
      </c>
      <c r="D35" t="s">
        <v>912</v>
      </c>
      <c r="E35" t="s">
        <v>189</v>
      </c>
      <c r="F35" t="s">
        <v>0</v>
      </c>
      <c r="G35" t="s">
        <v>901</v>
      </c>
      <c r="H35" t="s">
        <v>8</v>
      </c>
      <c r="I35">
        <v>35000</v>
      </c>
      <c r="J35">
        <v>15000</v>
      </c>
      <c r="K35">
        <v>20000</v>
      </c>
      <c r="L35" t="s">
        <v>61</v>
      </c>
    </row>
    <row r="36" spans="1:12" x14ac:dyDescent="0.3">
      <c r="A36" s="68">
        <v>45661</v>
      </c>
      <c r="B36" t="s">
        <v>288</v>
      </c>
      <c r="C36" t="s">
        <v>898</v>
      </c>
      <c r="D36" t="s">
        <v>917</v>
      </c>
      <c r="E36" t="s">
        <v>286</v>
      </c>
      <c r="F36" t="s">
        <v>0</v>
      </c>
      <c r="G36" t="s">
        <v>907</v>
      </c>
      <c r="H36" t="s">
        <v>8</v>
      </c>
      <c r="I36">
        <v>20000</v>
      </c>
      <c r="J36">
        <v>20000</v>
      </c>
      <c r="K36">
        <v>0</v>
      </c>
      <c r="L36" t="s">
        <v>2</v>
      </c>
    </row>
    <row r="37" spans="1:12" x14ac:dyDescent="0.3">
      <c r="A37" s="68">
        <v>45661</v>
      </c>
      <c r="B37" t="s">
        <v>285</v>
      </c>
      <c r="C37" t="s">
        <v>898</v>
      </c>
      <c r="D37" t="s">
        <v>917</v>
      </c>
      <c r="E37" t="s">
        <v>286</v>
      </c>
      <c r="F37" t="s">
        <v>0</v>
      </c>
      <c r="G37" t="s">
        <v>907</v>
      </c>
      <c r="H37" t="s">
        <v>8</v>
      </c>
      <c r="I37">
        <v>20000</v>
      </c>
      <c r="J37">
        <v>20000</v>
      </c>
      <c r="K37">
        <v>0</v>
      </c>
      <c r="L37" t="s">
        <v>2</v>
      </c>
    </row>
    <row r="38" spans="1:12" x14ac:dyDescent="0.3">
      <c r="A38" s="68">
        <v>45670</v>
      </c>
      <c r="B38" t="s">
        <v>85</v>
      </c>
      <c r="C38" t="s">
        <v>898</v>
      </c>
      <c r="D38" t="s">
        <v>915</v>
      </c>
      <c r="E38" t="s">
        <v>67</v>
      </c>
      <c r="F38" t="s">
        <v>19</v>
      </c>
      <c r="G38" t="s">
        <v>905</v>
      </c>
      <c r="H38" t="s">
        <v>902</v>
      </c>
      <c r="I38">
        <v>11800</v>
      </c>
      <c r="J38">
        <v>11800</v>
      </c>
      <c r="K38">
        <v>0</v>
      </c>
      <c r="L38" t="s">
        <v>2</v>
      </c>
    </row>
    <row r="39" spans="1:12" x14ac:dyDescent="0.3">
      <c r="A39" s="68">
        <v>45670</v>
      </c>
      <c r="B39" t="s">
        <v>84</v>
      </c>
      <c r="C39" t="s">
        <v>898</v>
      </c>
      <c r="D39" t="s">
        <v>915</v>
      </c>
      <c r="E39" t="s">
        <v>67</v>
      </c>
      <c r="F39" t="s">
        <v>19</v>
      </c>
      <c r="G39" t="s">
        <v>905</v>
      </c>
      <c r="H39" t="s">
        <v>902</v>
      </c>
      <c r="I39">
        <v>11800</v>
      </c>
      <c r="J39">
        <v>11800</v>
      </c>
      <c r="K39">
        <v>0</v>
      </c>
      <c r="L39" t="s">
        <v>2</v>
      </c>
    </row>
    <row r="40" spans="1:12" x14ac:dyDescent="0.3">
      <c r="A40" s="68">
        <v>45672</v>
      </c>
      <c r="B40" t="s">
        <v>92</v>
      </c>
      <c r="C40" t="s">
        <v>899</v>
      </c>
      <c r="D40" t="s">
        <v>913</v>
      </c>
      <c r="E40" t="s">
        <v>67</v>
      </c>
      <c r="F40" t="s">
        <v>19</v>
      </c>
      <c r="G40" t="s">
        <v>903</v>
      </c>
      <c r="H40" t="s">
        <v>49</v>
      </c>
      <c r="I40">
        <v>11800</v>
      </c>
      <c r="J40">
        <v>6900</v>
      </c>
      <c r="K40">
        <v>4900</v>
      </c>
      <c r="L40" t="s">
        <v>61</v>
      </c>
    </row>
    <row r="41" spans="1:12" x14ac:dyDescent="0.3">
      <c r="A41" s="68">
        <v>45672</v>
      </c>
      <c r="B41" t="s">
        <v>87</v>
      </c>
      <c r="C41" t="s">
        <v>898</v>
      </c>
      <c r="D41" t="s">
        <v>917</v>
      </c>
      <c r="E41" t="s">
        <v>67</v>
      </c>
      <c r="F41" t="s">
        <v>19</v>
      </c>
      <c r="G41" t="s">
        <v>907</v>
      </c>
      <c r="H41" t="s">
        <v>8</v>
      </c>
      <c r="I41">
        <v>11800</v>
      </c>
      <c r="J41">
        <v>7500</v>
      </c>
      <c r="K41">
        <v>4300</v>
      </c>
      <c r="L41" t="s">
        <v>61</v>
      </c>
    </row>
    <row r="42" spans="1:12" x14ac:dyDescent="0.3">
      <c r="A42" s="68">
        <v>45673</v>
      </c>
      <c r="B42" t="s">
        <v>94</v>
      </c>
      <c r="C42" t="s">
        <v>899</v>
      </c>
      <c r="D42" t="s">
        <v>913</v>
      </c>
      <c r="E42" t="s">
        <v>67</v>
      </c>
      <c r="F42" t="s">
        <v>19</v>
      </c>
      <c r="G42" t="s">
        <v>903</v>
      </c>
      <c r="H42" t="s">
        <v>49</v>
      </c>
      <c r="I42">
        <v>11800</v>
      </c>
      <c r="J42">
        <v>11800</v>
      </c>
      <c r="K42">
        <v>0</v>
      </c>
      <c r="L42" t="s">
        <v>2</v>
      </c>
    </row>
    <row r="43" spans="1:12" x14ac:dyDescent="0.3">
      <c r="A43" s="68">
        <v>45673</v>
      </c>
      <c r="B43" t="s">
        <v>90</v>
      </c>
      <c r="C43" t="s">
        <v>899</v>
      </c>
      <c r="D43" t="s">
        <v>915</v>
      </c>
      <c r="E43" t="s">
        <v>67</v>
      </c>
      <c r="F43" t="s">
        <v>19</v>
      </c>
      <c r="G43" t="s">
        <v>905</v>
      </c>
      <c r="H43" t="s">
        <v>8</v>
      </c>
      <c r="I43">
        <v>11800</v>
      </c>
      <c r="J43">
        <v>2000</v>
      </c>
      <c r="K43">
        <v>9800</v>
      </c>
      <c r="L43" t="s">
        <v>61</v>
      </c>
    </row>
    <row r="44" spans="1:12" x14ac:dyDescent="0.3">
      <c r="A44" s="68">
        <v>45674</v>
      </c>
      <c r="B44" t="s">
        <v>97</v>
      </c>
      <c r="C44" t="s">
        <v>898</v>
      </c>
      <c r="D44" t="s">
        <v>913</v>
      </c>
      <c r="E44" t="s">
        <v>67</v>
      </c>
      <c r="F44" t="s">
        <v>19</v>
      </c>
      <c r="G44" t="s">
        <v>903</v>
      </c>
      <c r="H44" t="s">
        <v>8</v>
      </c>
      <c r="I44">
        <v>11800</v>
      </c>
      <c r="J44">
        <v>1000</v>
      </c>
      <c r="K44">
        <v>10800</v>
      </c>
      <c r="L44" t="s">
        <v>61</v>
      </c>
    </row>
    <row r="45" spans="1:12" x14ac:dyDescent="0.3">
      <c r="A45" s="68">
        <v>45674</v>
      </c>
      <c r="B45" t="s">
        <v>96</v>
      </c>
      <c r="C45" t="s">
        <v>898</v>
      </c>
      <c r="D45" t="s">
        <v>915</v>
      </c>
      <c r="E45" t="s">
        <v>67</v>
      </c>
      <c r="F45" t="s">
        <v>19</v>
      </c>
      <c r="G45" t="s">
        <v>905</v>
      </c>
      <c r="H45" t="s">
        <v>8</v>
      </c>
      <c r="I45">
        <v>35400</v>
      </c>
      <c r="J45">
        <v>20000</v>
      </c>
      <c r="K45">
        <v>15400</v>
      </c>
      <c r="L45" t="s">
        <v>61</v>
      </c>
    </row>
    <row r="46" spans="1:12" x14ac:dyDescent="0.3">
      <c r="A46" s="68">
        <v>45676</v>
      </c>
      <c r="B46" t="s">
        <v>99</v>
      </c>
      <c r="C46" t="s">
        <v>898</v>
      </c>
      <c r="D46" t="s">
        <v>915</v>
      </c>
      <c r="E46" t="s">
        <v>67</v>
      </c>
      <c r="F46" t="s">
        <v>19</v>
      </c>
      <c r="G46" t="s">
        <v>905</v>
      </c>
      <c r="H46" t="s">
        <v>902</v>
      </c>
      <c r="I46">
        <v>11800</v>
      </c>
      <c r="J46">
        <v>11800</v>
      </c>
      <c r="K46">
        <v>0</v>
      </c>
      <c r="L46" t="s">
        <v>2</v>
      </c>
    </row>
    <row r="47" spans="1:12" x14ac:dyDescent="0.3">
      <c r="A47" s="68">
        <v>45677</v>
      </c>
      <c r="B47" t="s">
        <v>102</v>
      </c>
      <c r="C47" t="s">
        <v>898</v>
      </c>
      <c r="D47" t="s">
        <v>915</v>
      </c>
      <c r="E47" t="s">
        <v>67</v>
      </c>
      <c r="F47" t="s">
        <v>19</v>
      </c>
      <c r="G47" t="s">
        <v>905</v>
      </c>
      <c r="H47" t="s">
        <v>902</v>
      </c>
      <c r="I47">
        <v>11800</v>
      </c>
      <c r="J47">
        <v>11800</v>
      </c>
      <c r="K47">
        <v>0</v>
      </c>
      <c r="L47" t="s">
        <v>2</v>
      </c>
    </row>
    <row r="48" spans="1:12" x14ac:dyDescent="0.3">
      <c r="A48" s="68">
        <v>45677</v>
      </c>
      <c r="B48" t="s">
        <v>101</v>
      </c>
      <c r="C48" t="s">
        <v>898</v>
      </c>
      <c r="D48" t="s">
        <v>915</v>
      </c>
      <c r="E48" t="s">
        <v>67</v>
      </c>
      <c r="F48" t="s">
        <v>19</v>
      </c>
      <c r="G48" t="s">
        <v>905</v>
      </c>
      <c r="H48" t="s">
        <v>902</v>
      </c>
      <c r="I48">
        <v>11800</v>
      </c>
      <c r="J48">
        <v>11800</v>
      </c>
      <c r="K48">
        <v>0</v>
      </c>
      <c r="L48" t="s">
        <v>2</v>
      </c>
    </row>
    <row r="49" spans="1:12" x14ac:dyDescent="0.3">
      <c r="A49" s="68">
        <v>45679</v>
      </c>
      <c r="B49" t="s">
        <v>104</v>
      </c>
      <c r="C49" t="s">
        <v>898</v>
      </c>
      <c r="D49" t="s">
        <v>915</v>
      </c>
      <c r="E49" t="s">
        <v>67</v>
      </c>
      <c r="F49" t="s">
        <v>19</v>
      </c>
      <c r="G49" t="s">
        <v>905</v>
      </c>
      <c r="H49" t="s">
        <v>8</v>
      </c>
      <c r="I49">
        <v>11800</v>
      </c>
      <c r="J49">
        <v>2000</v>
      </c>
      <c r="K49">
        <v>9800</v>
      </c>
      <c r="L49" t="s">
        <v>61</v>
      </c>
    </row>
    <row r="50" spans="1:12" x14ac:dyDescent="0.3">
      <c r="A50" s="68">
        <v>45684</v>
      </c>
      <c r="B50" t="s">
        <v>106</v>
      </c>
      <c r="C50" t="s">
        <v>898</v>
      </c>
      <c r="D50" t="s">
        <v>913</v>
      </c>
      <c r="E50" t="s">
        <v>67</v>
      </c>
      <c r="F50" t="s">
        <v>19</v>
      </c>
      <c r="G50" t="s">
        <v>903</v>
      </c>
      <c r="H50" t="s">
        <v>49</v>
      </c>
      <c r="I50">
        <v>11800</v>
      </c>
      <c r="J50">
        <v>11800</v>
      </c>
      <c r="K50">
        <v>0</v>
      </c>
      <c r="L50" t="s">
        <v>2</v>
      </c>
    </row>
    <row r="51" spans="1:12" x14ac:dyDescent="0.3">
      <c r="A51" s="68">
        <v>45685</v>
      </c>
      <c r="B51" t="s">
        <v>108</v>
      </c>
      <c r="C51" t="s">
        <v>898</v>
      </c>
      <c r="D51" t="s">
        <v>913</v>
      </c>
      <c r="E51" t="s">
        <v>67</v>
      </c>
      <c r="F51" t="s">
        <v>19</v>
      </c>
      <c r="G51" t="s">
        <v>903</v>
      </c>
      <c r="H51" t="s">
        <v>8</v>
      </c>
      <c r="I51">
        <v>11800</v>
      </c>
      <c r="J51">
        <v>11800</v>
      </c>
      <c r="K51">
        <v>0</v>
      </c>
      <c r="L51" t="s">
        <v>2</v>
      </c>
    </row>
    <row r="52" spans="1:12" x14ac:dyDescent="0.3">
      <c r="A52" s="68">
        <v>45686</v>
      </c>
      <c r="B52" t="s">
        <v>110</v>
      </c>
      <c r="C52" t="s">
        <v>898</v>
      </c>
      <c r="D52" t="s">
        <v>915</v>
      </c>
      <c r="E52" t="s">
        <v>67</v>
      </c>
      <c r="F52" t="s">
        <v>19</v>
      </c>
      <c r="G52" t="s">
        <v>905</v>
      </c>
      <c r="H52" t="s">
        <v>8</v>
      </c>
      <c r="I52">
        <v>11800</v>
      </c>
      <c r="J52">
        <v>11800</v>
      </c>
      <c r="K52">
        <v>0</v>
      </c>
      <c r="L52" t="s">
        <v>2</v>
      </c>
    </row>
    <row r="53" spans="1:12" x14ac:dyDescent="0.3">
      <c r="A53" s="68">
        <v>45688</v>
      </c>
      <c r="B53" t="s">
        <v>113</v>
      </c>
      <c r="C53" t="s">
        <v>898</v>
      </c>
      <c r="D53" t="s">
        <v>913</v>
      </c>
      <c r="E53" t="s">
        <v>67</v>
      </c>
      <c r="F53" t="s">
        <v>19</v>
      </c>
      <c r="G53" t="s">
        <v>903</v>
      </c>
      <c r="H53" t="s">
        <v>8</v>
      </c>
      <c r="I53">
        <v>29500</v>
      </c>
      <c r="J53">
        <v>2000</v>
      </c>
      <c r="K53">
        <v>27500</v>
      </c>
      <c r="L53" t="s">
        <v>61</v>
      </c>
    </row>
    <row r="54" spans="1:12" x14ac:dyDescent="0.3">
      <c r="A54" s="68">
        <v>45689</v>
      </c>
      <c r="B54" t="s">
        <v>70</v>
      </c>
      <c r="C54" t="s">
        <v>898</v>
      </c>
      <c r="D54" t="s">
        <v>915</v>
      </c>
      <c r="E54" t="s">
        <v>67</v>
      </c>
      <c r="F54" t="s">
        <v>19</v>
      </c>
      <c r="G54" t="s">
        <v>905</v>
      </c>
      <c r="H54" t="s">
        <v>902</v>
      </c>
      <c r="I54">
        <v>11800</v>
      </c>
      <c r="J54">
        <v>11800</v>
      </c>
      <c r="K54">
        <v>0</v>
      </c>
      <c r="L54" t="s">
        <v>2</v>
      </c>
    </row>
    <row r="55" spans="1:12" x14ac:dyDescent="0.3">
      <c r="A55" s="68">
        <v>45689</v>
      </c>
      <c r="B55" t="s">
        <v>69</v>
      </c>
      <c r="C55" t="s">
        <v>898</v>
      </c>
      <c r="D55" t="s">
        <v>915</v>
      </c>
      <c r="E55" t="s">
        <v>67</v>
      </c>
      <c r="F55" t="s">
        <v>19</v>
      </c>
      <c r="G55" t="s">
        <v>905</v>
      </c>
      <c r="H55" t="s">
        <v>49</v>
      </c>
      <c r="I55">
        <v>11800</v>
      </c>
      <c r="J55">
        <v>2000</v>
      </c>
      <c r="K55">
        <v>9800</v>
      </c>
      <c r="L55" t="s">
        <v>61</v>
      </c>
    </row>
    <row r="56" spans="1:12" x14ac:dyDescent="0.3">
      <c r="A56" s="68">
        <v>45689</v>
      </c>
      <c r="B56" t="s">
        <v>68</v>
      </c>
      <c r="C56" t="s">
        <v>898</v>
      </c>
      <c r="D56" t="s">
        <v>915</v>
      </c>
      <c r="E56" t="s">
        <v>67</v>
      </c>
      <c r="F56" t="s">
        <v>19</v>
      </c>
      <c r="G56" t="s">
        <v>905</v>
      </c>
      <c r="H56" t="s">
        <v>49</v>
      </c>
      <c r="I56">
        <v>11800</v>
      </c>
      <c r="J56">
        <v>500</v>
      </c>
      <c r="K56">
        <v>11300</v>
      </c>
      <c r="L56" t="s">
        <v>61</v>
      </c>
    </row>
    <row r="57" spans="1:12" x14ac:dyDescent="0.3">
      <c r="A57" s="68">
        <v>45690</v>
      </c>
      <c r="B57" t="s">
        <v>117</v>
      </c>
      <c r="C57" t="s">
        <v>898</v>
      </c>
      <c r="D57" t="s">
        <v>915</v>
      </c>
      <c r="E57" t="s">
        <v>116</v>
      </c>
      <c r="F57" t="s">
        <v>19</v>
      </c>
      <c r="G57" t="s">
        <v>905</v>
      </c>
      <c r="H57" t="s">
        <v>49</v>
      </c>
      <c r="I57">
        <v>11800</v>
      </c>
      <c r="J57">
        <v>11800</v>
      </c>
      <c r="K57">
        <v>0</v>
      </c>
      <c r="L57" t="s">
        <v>2</v>
      </c>
    </row>
    <row r="58" spans="1:12" x14ac:dyDescent="0.3">
      <c r="A58" s="68">
        <v>45690</v>
      </c>
      <c r="B58" t="s">
        <v>115</v>
      </c>
      <c r="C58" t="s">
        <v>898</v>
      </c>
      <c r="D58" t="s">
        <v>915</v>
      </c>
      <c r="E58" t="s">
        <v>116</v>
      </c>
      <c r="F58" t="s">
        <v>19</v>
      </c>
      <c r="G58" t="s">
        <v>905</v>
      </c>
      <c r="H58" t="s">
        <v>49</v>
      </c>
      <c r="I58">
        <v>14000</v>
      </c>
      <c r="J58">
        <v>6000</v>
      </c>
      <c r="K58">
        <v>8000</v>
      </c>
      <c r="L58" t="s">
        <v>61</v>
      </c>
    </row>
    <row r="59" spans="1:12" x14ac:dyDescent="0.3">
      <c r="A59" s="68">
        <v>45692</v>
      </c>
      <c r="B59" t="s">
        <v>291</v>
      </c>
      <c r="C59" t="s">
        <v>898</v>
      </c>
      <c r="D59" t="s">
        <v>917</v>
      </c>
      <c r="E59" t="s">
        <v>286</v>
      </c>
      <c r="F59" t="s">
        <v>0</v>
      </c>
      <c r="G59" t="s">
        <v>907</v>
      </c>
      <c r="H59" t="s">
        <v>49</v>
      </c>
      <c r="I59">
        <v>20000</v>
      </c>
      <c r="J59">
        <v>20000</v>
      </c>
      <c r="K59">
        <v>0</v>
      </c>
      <c r="L59" t="s">
        <v>2</v>
      </c>
    </row>
    <row r="60" spans="1:12" x14ac:dyDescent="0.3">
      <c r="A60" s="68">
        <v>45692</v>
      </c>
      <c r="B60" t="s">
        <v>289</v>
      </c>
      <c r="C60" t="s">
        <v>898</v>
      </c>
      <c r="D60" t="s">
        <v>916</v>
      </c>
      <c r="E60" t="s">
        <v>286</v>
      </c>
      <c r="F60" t="s">
        <v>0</v>
      </c>
      <c r="G60" t="s">
        <v>906</v>
      </c>
      <c r="H60" t="s">
        <v>8</v>
      </c>
      <c r="I60">
        <v>20000</v>
      </c>
      <c r="J60">
        <v>2000</v>
      </c>
      <c r="K60">
        <v>18000</v>
      </c>
      <c r="L60" t="s">
        <v>61</v>
      </c>
    </row>
    <row r="61" spans="1:12" x14ac:dyDescent="0.3">
      <c r="A61" s="68">
        <v>45692</v>
      </c>
      <c r="B61" t="s">
        <v>290</v>
      </c>
      <c r="C61" t="s">
        <v>898</v>
      </c>
      <c r="D61" t="s">
        <v>916</v>
      </c>
      <c r="E61" t="s">
        <v>286</v>
      </c>
      <c r="F61" t="s">
        <v>0</v>
      </c>
      <c r="G61" t="s">
        <v>906</v>
      </c>
      <c r="H61" t="s">
        <v>49</v>
      </c>
      <c r="I61">
        <v>20000</v>
      </c>
      <c r="J61">
        <v>1000</v>
      </c>
      <c r="K61">
        <v>19000</v>
      </c>
      <c r="L61" t="s">
        <v>61</v>
      </c>
    </row>
    <row r="62" spans="1:12" x14ac:dyDescent="0.3">
      <c r="A62" s="68">
        <v>45701</v>
      </c>
      <c r="B62" t="s">
        <v>143</v>
      </c>
      <c r="C62" t="s">
        <v>898</v>
      </c>
      <c r="D62" t="s">
        <v>915</v>
      </c>
      <c r="E62" t="s">
        <v>116</v>
      </c>
      <c r="F62" t="s">
        <v>19</v>
      </c>
      <c r="G62" t="s">
        <v>905</v>
      </c>
      <c r="H62" t="s">
        <v>10</v>
      </c>
      <c r="I62">
        <v>14000</v>
      </c>
      <c r="J62">
        <v>14000</v>
      </c>
      <c r="K62">
        <v>0</v>
      </c>
      <c r="L62" t="s">
        <v>2</v>
      </c>
    </row>
    <row r="63" spans="1:12" x14ac:dyDescent="0.3">
      <c r="A63" s="68">
        <v>45701</v>
      </c>
      <c r="B63" t="s">
        <v>142</v>
      </c>
      <c r="C63" t="s">
        <v>898</v>
      </c>
      <c r="D63" t="s">
        <v>915</v>
      </c>
      <c r="E63" t="s">
        <v>116</v>
      </c>
      <c r="F63" t="s">
        <v>19</v>
      </c>
      <c r="G63" t="s">
        <v>905</v>
      </c>
      <c r="H63" t="s">
        <v>10</v>
      </c>
      <c r="I63">
        <v>14000</v>
      </c>
      <c r="J63">
        <v>14000</v>
      </c>
      <c r="K63">
        <v>0</v>
      </c>
      <c r="L63" t="s">
        <v>2</v>
      </c>
    </row>
    <row r="64" spans="1:12" x14ac:dyDescent="0.3">
      <c r="A64" s="68">
        <v>45702</v>
      </c>
      <c r="B64" t="s">
        <v>146</v>
      </c>
      <c r="C64" t="s">
        <v>899</v>
      </c>
      <c r="D64" t="s">
        <v>917</v>
      </c>
      <c r="E64" t="s">
        <v>116</v>
      </c>
      <c r="F64" t="s">
        <v>19</v>
      </c>
      <c r="G64" t="s">
        <v>907</v>
      </c>
      <c r="H64" t="s">
        <v>902</v>
      </c>
      <c r="I64">
        <v>11800</v>
      </c>
      <c r="J64">
        <v>11800</v>
      </c>
      <c r="K64">
        <v>0</v>
      </c>
      <c r="L64" t="s">
        <v>2</v>
      </c>
    </row>
    <row r="65" spans="1:12" x14ac:dyDescent="0.3">
      <c r="A65" s="68">
        <v>45702</v>
      </c>
      <c r="B65" t="s">
        <v>145</v>
      </c>
      <c r="C65" t="s">
        <v>898</v>
      </c>
      <c r="D65" t="s">
        <v>915</v>
      </c>
      <c r="E65" t="s">
        <v>116</v>
      </c>
      <c r="F65" t="s">
        <v>19</v>
      </c>
      <c r="G65" t="s">
        <v>905</v>
      </c>
      <c r="H65" t="s">
        <v>49</v>
      </c>
      <c r="I65">
        <v>14000</v>
      </c>
      <c r="J65">
        <v>7000</v>
      </c>
      <c r="K65">
        <v>7000</v>
      </c>
      <c r="L65" t="s">
        <v>61</v>
      </c>
    </row>
    <row r="66" spans="1:12" x14ac:dyDescent="0.3">
      <c r="A66" s="68">
        <v>45703</v>
      </c>
      <c r="B66" t="s">
        <v>149</v>
      </c>
      <c r="C66" t="s">
        <v>898</v>
      </c>
      <c r="D66" t="s">
        <v>917</v>
      </c>
      <c r="E66" t="s">
        <v>116</v>
      </c>
      <c r="F66" t="s">
        <v>19</v>
      </c>
      <c r="G66" t="s">
        <v>907</v>
      </c>
      <c r="H66" t="s">
        <v>49</v>
      </c>
      <c r="I66">
        <v>14000</v>
      </c>
      <c r="J66">
        <v>14000</v>
      </c>
      <c r="K66">
        <v>0</v>
      </c>
      <c r="L66" t="s">
        <v>2</v>
      </c>
    </row>
    <row r="67" spans="1:12" x14ac:dyDescent="0.3">
      <c r="A67" s="68">
        <v>45703</v>
      </c>
      <c r="B67" t="s">
        <v>148</v>
      </c>
      <c r="C67" t="s">
        <v>898</v>
      </c>
      <c r="D67" t="s">
        <v>917</v>
      </c>
      <c r="E67" t="s">
        <v>116</v>
      </c>
      <c r="F67" t="s">
        <v>19</v>
      </c>
      <c r="G67" t="s">
        <v>907</v>
      </c>
      <c r="H67" t="s">
        <v>49</v>
      </c>
      <c r="I67">
        <v>14000</v>
      </c>
      <c r="J67">
        <v>14000</v>
      </c>
      <c r="K67">
        <v>0</v>
      </c>
      <c r="L67" t="s">
        <v>2</v>
      </c>
    </row>
    <row r="68" spans="1:12" x14ac:dyDescent="0.3">
      <c r="A68" s="68">
        <v>45704</v>
      </c>
      <c r="B68" t="s">
        <v>151</v>
      </c>
      <c r="C68" t="s">
        <v>898</v>
      </c>
      <c r="D68" t="s">
        <v>917</v>
      </c>
      <c r="E68" t="s">
        <v>116</v>
      </c>
      <c r="F68" t="s">
        <v>19</v>
      </c>
      <c r="G68" t="s">
        <v>907</v>
      </c>
      <c r="H68" t="s">
        <v>8</v>
      </c>
      <c r="I68">
        <v>14000</v>
      </c>
      <c r="J68">
        <v>14000</v>
      </c>
      <c r="K68">
        <v>0</v>
      </c>
      <c r="L68" t="s">
        <v>2</v>
      </c>
    </row>
    <row r="69" spans="1:12" x14ac:dyDescent="0.3">
      <c r="A69" s="68">
        <v>45705</v>
      </c>
      <c r="B69" t="s">
        <v>154</v>
      </c>
      <c r="C69" t="s">
        <v>898</v>
      </c>
      <c r="D69" t="s">
        <v>916</v>
      </c>
      <c r="E69" t="s">
        <v>116</v>
      </c>
      <c r="F69" t="s">
        <v>19</v>
      </c>
      <c r="G69" t="s">
        <v>906</v>
      </c>
      <c r="H69" t="s">
        <v>8</v>
      </c>
      <c r="I69">
        <v>14000</v>
      </c>
      <c r="J69">
        <v>500</v>
      </c>
      <c r="K69">
        <v>13500</v>
      </c>
      <c r="L69" t="s">
        <v>61</v>
      </c>
    </row>
    <row r="70" spans="1:12" x14ac:dyDescent="0.3">
      <c r="A70" s="68">
        <v>45705</v>
      </c>
      <c r="B70" t="s">
        <v>153</v>
      </c>
      <c r="C70" t="s">
        <v>898</v>
      </c>
      <c r="D70" t="s">
        <v>916</v>
      </c>
      <c r="E70" t="s">
        <v>116</v>
      </c>
      <c r="F70" t="s">
        <v>19</v>
      </c>
      <c r="G70" t="s">
        <v>906</v>
      </c>
      <c r="H70" t="s">
        <v>10</v>
      </c>
      <c r="I70">
        <v>14000</v>
      </c>
      <c r="J70">
        <v>1000</v>
      </c>
      <c r="K70">
        <v>13000</v>
      </c>
      <c r="L70" t="s">
        <v>61</v>
      </c>
    </row>
    <row r="71" spans="1:12" x14ac:dyDescent="0.3">
      <c r="A71" s="68">
        <v>45706</v>
      </c>
      <c r="B71" t="s">
        <v>157</v>
      </c>
      <c r="C71" t="s">
        <v>898</v>
      </c>
      <c r="D71" t="s">
        <v>915</v>
      </c>
      <c r="E71" t="s">
        <v>116</v>
      </c>
      <c r="F71" t="s">
        <v>19</v>
      </c>
      <c r="G71" t="s">
        <v>905</v>
      </c>
      <c r="H71" t="s">
        <v>8</v>
      </c>
      <c r="I71">
        <v>14000</v>
      </c>
      <c r="J71">
        <v>14000</v>
      </c>
      <c r="K71">
        <v>0</v>
      </c>
      <c r="L71" t="s">
        <v>2</v>
      </c>
    </row>
    <row r="72" spans="1:12" x14ac:dyDescent="0.3">
      <c r="A72" s="68">
        <v>45706</v>
      </c>
      <c r="B72" t="s">
        <v>156</v>
      </c>
      <c r="C72" t="s">
        <v>898</v>
      </c>
      <c r="D72" t="s">
        <v>917</v>
      </c>
      <c r="E72" t="s">
        <v>116</v>
      </c>
      <c r="F72" t="s">
        <v>19</v>
      </c>
      <c r="G72" t="s">
        <v>907</v>
      </c>
      <c r="H72" t="s">
        <v>8</v>
      </c>
      <c r="I72">
        <v>14000</v>
      </c>
      <c r="J72">
        <v>14000</v>
      </c>
      <c r="K72">
        <v>0</v>
      </c>
      <c r="L72" t="s">
        <v>2</v>
      </c>
    </row>
    <row r="73" spans="1:12" x14ac:dyDescent="0.3">
      <c r="A73" s="68">
        <v>45707</v>
      </c>
      <c r="B73" t="s">
        <v>159</v>
      </c>
      <c r="C73" t="s">
        <v>898</v>
      </c>
      <c r="D73" t="s">
        <v>912</v>
      </c>
      <c r="E73" t="s">
        <v>116</v>
      </c>
      <c r="F73" t="s">
        <v>19</v>
      </c>
      <c r="G73" t="s">
        <v>901</v>
      </c>
      <c r="H73" t="s">
        <v>8</v>
      </c>
      <c r="I73">
        <v>20000</v>
      </c>
      <c r="J73">
        <v>20000</v>
      </c>
      <c r="K73">
        <v>0</v>
      </c>
      <c r="L73" t="s">
        <v>2</v>
      </c>
    </row>
    <row r="74" spans="1:12" x14ac:dyDescent="0.3">
      <c r="A74" s="68">
        <v>45707</v>
      </c>
      <c r="B74" t="s">
        <v>161</v>
      </c>
      <c r="C74" t="s">
        <v>898</v>
      </c>
      <c r="D74" t="s">
        <v>915</v>
      </c>
      <c r="E74" t="s">
        <v>116</v>
      </c>
      <c r="F74" t="s">
        <v>19</v>
      </c>
      <c r="G74" t="s">
        <v>905</v>
      </c>
      <c r="H74" t="s">
        <v>49</v>
      </c>
      <c r="I74">
        <v>14000</v>
      </c>
      <c r="J74">
        <v>14000</v>
      </c>
      <c r="K74">
        <v>0</v>
      </c>
      <c r="L74" t="s">
        <v>2</v>
      </c>
    </row>
    <row r="75" spans="1:12" x14ac:dyDescent="0.3">
      <c r="A75" s="68">
        <v>45708</v>
      </c>
      <c r="B75" t="s">
        <v>163</v>
      </c>
      <c r="C75" t="s">
        <v>898</v>
      </c>
      <c r="D75" t="s">
        <v>917</v>
      </c>
      <c r="E75" t="s">
        <v>116</v>
      </c>
      <c r="F75" t="s">
        <v>19</v>
      </c>
      <c r="G75" t="s">
        <v>907</v>
      </c>
      <c r="H75" t="s">
        <v>10</v>
      </c>
      <c r="I75">
        <v>14000</v>
      </c>
      <c r="J75">
        <v>14000</v>
      </c>
      <c r="K75">
        <v>0</v>
      </c>
      <c r="L75" t="s">
        <v>2</v>
      </c>
    </row>
    <row r="76" spans="1:12" x14ac:dyDescent="0.3">
      <c r="A76" s="68">
        <v>45708</v>
      </c>
      <c r="B76" t="s">
        <v>164</v>
      </c>
      <c r="C76" t="s">
        <v>898</v>
      </c>
      <c r="D76" t="s">
        <v>917</v>
      </c>
      <c r="E76" t="s">
        <v>116</v>
      </c>
      <c r="F76" t="s">
        <v>19</v>
      </c>
      <c r="G76" t="s">
        <v>907</v>
      </c>
      <c r="H76" t="s">
        <v>10</v>
      </c>
      <c r="I76">
        <v>14000</v>
      </c>
      <c r="J76">
        <v>14000</v>
      </c>
      <c r="K76">
        <v>0</v>
      </c>
      <c r="L76" t="s">
        <v>2</v>
      </c>
    </row>
    <row r="77" spans="1:12" x14ac:dyDescent="0.3">
      <c r="A77" s="68">
        <v>45709</v>
      </c>
      <c r="B77" t="s">
        <v>166</v>
      </c>
      <c r="C77" t="s">
        <v>898</v>
      </c>
      <c r="D77" t="s">
        <v>917</v>
      </c>
      <c r="E77" t="s">
        <v>116</v>
      </c>
      <c r="F77" t="s">
        <v>19</v>
      </c>
      <c r="G77" t="s">
        <v>907</v>
      </c>
      <c r="H77" t="s">
        <v>49</v>
      </c>
      <c r="I77">
        <v>14000</v>
      </c>
      <c r="J77">
        <v>14000</v>
      </c>
      <c r="K77">
        <v>0</v>
      </c>
      <c r="L77" t="s">
        <v>2</v>
      </c>
    </row>
    <row r="78" spans="1:12" x14ac:dyDescent="0.3">
      <c r="A78" s="68">
        <v>45709</v>
      </c>
      <c r="B78" t="s">
        <v>167</v>
      </c>
      <c r="C78" t="s">
        <v>898</v>
      </c>
      <c r="D78" t="s">
        <v>917</v>
      </c>
      <c r="E78" t="s">
        <v>116</v>
      </c>
      <c r="F78" t="s">
        <v>19</v>
      </c>
      <c r="G78" t="s">
        <v>907</v>
      </c>
      <c r="H78" t="s">
        <v>10</v>
      </c>
      <c r="I78">
        <v>14000</v>
      </c>
      <c r="J78">
        <v>14000</v>
      </c>
      <c r="K78">
        <v>0</v>
      </c>
      <c r="L78" t="s">
        <v>2</v>
      </c>
    </row>
    <row r="79" spans="1:12" x14ac:dyDescent="0.3">
      <c r="A79" s="68">
        <v>45709</v>
      </c>
      <c r="B79" t="s">
        <v>168</v>
      </c>
      <c r="C79" t="s">
        <v>898</v>
      </c>
      <c r="D79" t="s">
        <v>917</v>
      </c>
      <c r="E79" t="s">
        <v>116</v>
      </c>
      <c r="F79" t="s">
        <v>19</v>
      </c>
      <c r="G79" t="s">
        <v>907</v>
      </c>
      <c r="H79" t="s">
        <v>10</v>
      </c>
      <c r="I79">
        <v>14000</v>
      </c>
      <c r="J79">
        <v>7000</v>
      </c>
      <c r="K79">
        <v>7000</v>
      </c>
      <c r="L79" t="s">
        <v>61</v>
      </c>
    </row>
    <row r="80" spans="1:12" x14ac:dyDescent="0.3">
      <c r="A80" s="68">
        <v>45709</v>
      </c>
      <c r="B80" t="s">
        <v>169</v>
      </c>
      <c r="C80" t="s">
        <v>898</v>
      </c>
      <c r="D80" t="s">
        <v>917</v>
      </c>
      <c r="E80" t="s">
        <v>116</v>
      </c>
      <c r="F80" t="s">
        <v>19</v>
      </c>
      <c r="G80" t="s">
        <v>907</v>
      </c>
      <c r="H80" t="s">
        <v>49</v>
      </c>
      <c r="I80">
        <v>14000</v>
      </c>
      <c r="J80">
        <v>7000</v>
      </c>
      <c r="K80">
        <v>7000</v>
      </c>
      <c r="L80" t="s">
        <v>61</v>
      </c>
    </row>
    <row r="81" spans="1:12" x14ac:dyDescent="0.3">
      <c r="A81" s="68">
        <v>45709</v>
      </c>
      <c r="B81" t="s">
        <v>170</v>
      </c>
      <c r="C81" t="s">
        <v>898</v>
      </c>
      <c r="D81" t="s">
        <v>917</v>
      </c>
      <c r="E81" t="s">
        <v>116</v>
      </c>
      <c r="F81" t="s">
        <v>19</v>
      </c>
      <c r="G81" t="s">
        <v>907</v>
      </c>
      <c r="H81" t="s">
        <v>49</v>
      </c>
      <c r="I81">
        <v>14000</v>
      </c>
      <c r="J81">
        <v>14000</v>
      </c>
      <c r="K81">
        <v>0</v>
      </c>
      <c r="L81" t="s">
        <v>2</v>
      </c>
    </row>
    <row r="82" spans="1:12" x14ac:dyDescent="0.3">
      <c r="A82" s="68">
        <v>45709</v>
      </c>
      <c r="B82" t="s">
        <v>171</v>
      </c>
      <c r="C82" t="s">
        <v>898</v>
      </c>
      <c r="D82" t="s">
        <v>917</v>
      </c>
      <c r="E82" t="s">
        <v>116</v>
      </c>
      <c r="F82" t="s">
        <v>19</v>
      </c>
      <c r="G82" t="s">
        <v>907</v>
      </c>
      <c r="H82" t="s">
        <v>10</v>
      </c>
      <c r="I82">
        <v>14000</v>
      </c>
      <c r="J82">
        <v>14000</v>
      </c>
      <c r="K82">
        <v>0</v>
      </c>
      <c r="L82" t="s">
        <v>2</v>
      </c>
    </row>
    <row r="83" spans="1:12" x14ac:dyDescent="0.3">
      <c r="A83" s="68">
        <v>45710</v>
      </c>
      <c r="B83" t="s">
        <v>173</v>
      </c>
      <c r="C83" t="s">
        <v>898</v>
      </c>
      <c r="D83" t="s">
        <v>917</v>
      </c>
      <c r="E83" t="s">
        <v>116</v>
      </c>
      <c r="F83" t="s">
        <v>19</v>
      </c>
      <c r="G83" t="s">
        <v>907</v>
      </c>
      <c r="H83" t="s">
        <v>10</v>
      </c>
      <c r="I83">
        <v>14000</v>
      </c>
      <c r="J83">
        <v>14000</v>
      </c>
      <c r="K83">
        <v>0</v>
      </c>
      <c r="L83" t="s">
        <v>2</v>
      </c>
    </row>
    <row r="84" spans="1:12" x14ac:dyDescent="0.3">
      <c r="A84" s="68">
        <v>45710</v>
      </c>
      <c r="B84" t="s">
        <v>174</v>
      </c>
      <c r="C84" t="s">
        <v>898</v>
      </c>
      <c r="D84" t="s">
        <v>917</v>
      </c>
      <c r="E84" t="s">
        <v>116</v>
      </c>
      <c r="F84" t="s">
        <v>19</v>
      </c>
      <c r="G84" t="s">
        <v>907</v>
      </c>
      <c r="H84" t="s">
        <v>10</v>
      </c>
      <c r="I84">
        <v>14000</v>
      </c>
      <c r="J84">
        <v>7000</v>
      </c>
      <c r="K84">
        <v>7000</v>
      </c>
      <c r="L84" t="s">
        <v>61</v>
      </c>
    </row>
    <row r="85" spans="1:12" x14ac:dyDescent="0.3">
      <c r="A85" s="68">
        <v>45713</v>
      </c>
      <c r="B85" t="s">
        <v>176</v>
      </c>
      <c r="C85" t="s">
        <v>898</v>
      </c>
      <c r="D85" t="s">
        <v>917</v>
      </c>
      <c r="E85" t="s">
        <v>116</v>
      </c>
      <c r="F85" t="s">
        <v>19</v>
      </c>
      <c r="G85" t="s">
        <v>907</v>
      </c>
      <c r="H85" t="s">
        <v>902</v>
      </c>
      <c r="I85">
        <v>14000</v>
      </c>
      <c r="J85">
        <v>14000</v>
      </c>
      <c r="K85">
        <v>0</v>
      </c>
      <c r="L85" t="s">
        <v>2</v>
      </c>
    </row>
    <row r="86" spans="1:12" x14ac:dyDescent="0.3">
      <c r="A86" s="68">
        <v>45713</v>
      </c>
      <c r="B86" t="s">
        <v>178</v>
      </c>
      <c r="C86" t="s">
        <v>898</v>
      </c>
      <c r="D86" t="s">
        <v>917</v>
      </c>
      <c r="E86" t="s">
        <v>116</v>
      </c>
      <c r="F86" t="s">
        <v>19</v>
      </c>
      <c r="G86" t="s">
        <v>907</v>
      </c>
      <c r="H86" t="s">
        <v>49</v>
      </c>
      <c r="I86">
        <v>14000</v>
      </c>
      <c r="J86">
        <v>7000</v>
      </c>
      <c r="K86">
        <v>7000</v>
      </c>
      <c r="L86" t="s">
        <v>61</v>
      </c>
    </row>
    <row r="87" spans="1:12" x14ac:dyDescent="0.3">
      <c r="A87" s="68">
        <v>45713</v>
      </c>
      <c r="B87" t="s">
        <v>177</v>
      </c>
      <c r="C87" t="s">
        <v>898</v>
      </c>
      <c r="D87" t="s">
        <v>913</v>
      </c>
      <c r="E87" t="s">
        <v>116</v>
      </c>
      <c r="F87" t="s">
        <v>19</v>
      </c>
      <c r="G87" t="s">
        <v>903</v>
      </c>
      <c r="H87" t="s">
        <v>49</v>
      </c>
      <c r="I87">
        <v>14000</v>
      </c>
      <c r="J87">
        <v>14000</v>
      </c>
      <c r="K87">
        <v>0</v>
      </c>
      <c r="L87" t="s">
        <v>2</v>
      </c>
    </row>
    <row r="88" spans="1:12" x14ac:dyDescent="0.3">
      <c r="A88" s="68">
        <v>45714</v>
      </c>
      <c r="B88" t="s">
        <v>180</v>
      </c>
      <c r="C88" t="s">
        <v>898</v>
      </c>
      <c r="D88" t="s">
        <v>916</v>
      </c>
      <c r="E88" t="s">
        <v>116</v>
      </c>
      <c r="F88" t="s">
        <v>19</v>
      </c>
      <c r="G88" t="s">
        <v>906</v>
      </c>
      <c r="H88" t="s">
        <v>10</v>
      </c>
      <c r="I88">
        <v>14000</v>
      </c>
      <c r="J88">
        <v>2000</v>
      </c>
      <c r="K88">
        <v>12000</v>
      </c>
      <c r="L88" t="s">
        <v>61</v>
      </c>
    </row>
    <row r="89" spans="1:12" x14ac:dyDescent="0.3">
      <c r="A89" s="68">
        <v>45715</v>
      </c>
      <c r="B89" t="s">
        <v>182</v>
      </c>
      <c r="C89" t="s">
        <v>899</v>
      </c>
      <c r="D89" t="s">
        <v>917</v>
      </c>
      <c r="E89" t="s">
        <v>116</v>
      </c>
      <c r="F89" t="s">
        <v>19</v>
      </c>
      <c r="G89" t="s">
        <v>907</v>
      </c>
      <c r="H89" t="s">
        <v>49</v>
      </c>
      <c r="I89">
        <v>14000</v>
      </c>
      <c r="J89">
        <v>14000</v>
      </c>
      <c r="K89">
        <v>0</v>
      </c>
      <c r="L89" t="s">
        <v>2</v>
      </c>
    </row>
    <row r="90" spans="1:12" x14ac:dyDescent="0.3">
      <c r="A90" s="68">
        <v>45715</v>
      </c>
      <c r="B90" t="s">
        <v>183</v>
      </c>
      <c r="C90" t="s">
        <v>898</v>
      </c>
      <c r="D90" t="s">
        <v>916</v>
      </c>
      <c r="E90" t="s">
        <v>116</v>
      </c>
      <c r="F90" t="s">
        <v>19</v>
      </c>
      <c r="G90" t="s">
        <v>906</v>
      </c>
      <c r="H90" t="s">
        <v>49</v>
      </c>
      <c r="I90">
        <v>14000</v>
      </c>
      <c r="J90">
        <v>1000</v>
      </c>
      <c r="K90">
        <v>13000</v>
      </c>
      <c r="L90" t="s">
        <v>61</v>
      </c>
    </row>
    <row r="91" spans="1:12" x14ac:dyDescent="0.3">
      <c r="A91" s="68">
        <v>45716</v>
      </c>
      <c r="B91" t="s">
        <v>185</v>
      </c>
      <c r="C91" t="s">
        <v>898</v>
      </c>
      <c r="D91" t="s">
        <v>917</v>
      </c>
      <c r="E91" t="s">
        <v>116</v>
      </c>
      <c r="F91" t="s">
        <v>19</v>
      </c>
      <c r="G91" t="s">
        <v>907</v>
      </c>
      <c r="H91" t="s">
        <v>10</v>
      </c>
      <c r="I91">
        <v>14000</v>
      </c>
      <c r="J91">
        <v>14000</v>
      </c>
      <c r="K91">
        <v>0</v>
      </c>
      <c r="L91" t="s">
        <v>2</v>
      </c>
    </row>
    <row r="92" spans="1:12" x14ac:dyDescent="0.3">
      <c r="A92" s="68">
        <v>45716</v>
      </c>
      <c r="B92" t="s">
        <v>186</v>
      </c>
      <c r="C92" t="s">
        <v>898</v>
      </c>
      <c r="D92" t="s">
        <v>916</v>
      </c>
      <c r="E92" t="s">
        <v>116</v>
      </c>
      <c r="F92" t="s">
        <v>19</v>
      </c>
      <c r="G92" t="s">
        <v>906</v>
      </c>
      <c r="H92" t="s">
        <v>10</v>
      </c>
      <c r="I92">
        <v>14000</v>
      </c>
      <c r="J92">
        <v>1000</v>
      </c>
      <c r="K92">
        <v>13000</v>
      </c>
      <c r="L92" t="s">
        <v>61</v>
      </c>
    </row>
    <row r="93" spans="1:12" x14ac:dyDescent="0.3">
      <c r="A93" s="68">
        <v>45716</v>
      </c>
      <c r="B93" t="s">
        <v>187</v>
      </c>
      <c r="C93" t="s">
        <v>898</v>
      </c>
      <c r="D93" t="s">
        <v>917</v>
      </c>
      <c r="E93" t="s">
        <v>116</v>
      </c>
      <c r="F93" t="s">
        <v>19</v>
      </c>
      <c r="G93" t="s">
        <v>907</v>
      </c>
      <c r="H93" t="s">
        <v>49</v>
      </c>
      <c r="I93">
        <v>14000</v>
      </c>
      <c r="J93">
        <v>14000</v>
      </c>
      <c r="K93">
        <v>0</v>
      </c>
      <c r="L93" t="s">
        <v>2</v>
      </c>
    </row>
    <row r="94" spans="1:12" x14ac:dyDescent="0.3">
      <c r="A94" s="68">
        <v>45717</v>
      </c>
      <c r="B94" t="s">
        <v>71</v>
      </c>
      <c r="C94" t="s">
        <v>898</v>
      </c>
      <c r="D94" t="s">
        <v>915</v>
      </c>
      <c r="E94" t="s">
        <v>67</v>
      </c>
      <c r="F94" t="s">
        <v>19</v>
      </c>
      <c r="G94" t="s">
        <v>905</v>
      </c>
      <c r="H94" t="s">
        <v>49</v>
      </c>
      <c r="I94">
        <v>11800</v>
      </c>
      <c r="J94">
        <v>2000</v>
      </c>
      <c r="K94">
        <v>9800</v>
      </c>
      <c r="L94" t="s">
        <v>61</v>
      </c>
    </row>
    <row r="95" spans="1:12" x14ac:dyDescent="0.3">
      <c r="A95" s="68">
        <v>45718</v>
      </c>
      <c r="B95" t="s">
        <v>119</v>
      </c>
      <c r="C95" t="s">
        <v>898</v>
      </c>
      <c r="D95" t="s">
        <v>915</v>
      </c>
      <c r="E95" t="s">
        <v>116</v>
      </c>
      <c r="F95" t="s">
        <v>19</v>
      </c>
      <c r="G95" t="s">
        <v>905</v>
      </c>
      <c r="H95" t="s">
        <v>8</v>
      </c>
      <c r="I95">
        <v>14000</v>
      </c>
      <c r="J95">
        <v>14000</v>
      </c>
      <c r="K95">
        <v>0</v>
      </c>
      <c r="L95" t="s">
        <v>2</v>
      </c>
    </row>
    <row r="96" spans="1:12" x14ac:dyDescent="0.3">
      <c r="A96" s="68">
        <v>45718</v>
      </c>
      <c r="B96" t="s">
        <v>118</v>
      </c>
      <c r="C96" t="s">
        <v>898</v>
      </c>
      <c r="D96" t="s">
        <v>915</v>
      </c>
      <c r="E96" t="s">
        <v>116</v>
      </c>
      <c r="F96" t="s">
        <v>19</v>
      </c>
      <c r="G96" t="s">
        <v>905</v>
      </c>
      <c r="H96" t="s">
        <v>902</v>
      </c>
      <c r="I96">
        <v>14000</v>
      </c>
      <c r="J96">
        <v>14000</v>
      </c>
      <c r="K96">
        <v>0</v>
      </c>
      <c r="L96" t="s">
        <v>2</v>
      </c>
    </row>
    <row r="97" spans="1:12" x14ac:dyDescent="0.3">
      <c r="A97" s="68">
        <v>45719</v>
      </c>
      <c r="B97" t="s">
        <v>190</v>
      </c>
      <c r="C97" t="s">
        <v>898</v>
      </c>
      <c r="D97" t="s">
        <v>917</v>
      </c>
      <c r="E97" t="s">
        <v>189</v>
      </c>
      <c r="F97" t="s">
        <v>19</v>
      </c>
      <c r="G97" t="s">
        <v>907</v>
      </c>
      <c r="H97" t="s">
        <v>10</v>
      </c>
      <c r="I97">
        <v>14000</v>
      </c>
      <c r="J97">
        <v>14000</v>
      </c>
      <c r="K97">
        <v>0</v>
      </c>
      <c r="L97" t="s">
        <v>2</v>
      </c>
    </row>
    <row r="98" spans="1:12" x14ac:dyDescent="0.3">
      <c r="A98" s="68">
        <v>45720</v>
      </c>
      <c r="B98" t="s">
        <v>292</v>
      </c>
      <c r="C98" t="s">
        <v>898</v>
      </c>
      <c r="D98" t="s">
        <v>917</v>
      </c>
      <c r="E98" t="s">
        <v>286</v>
      </c>
      <c r="F98" t="s">
        <v>0</v>
      </c>
      <c r="G98" t="s">
        <v>907</v>
      </c>
      <c r="H98" t="s">
        <v>10</v>
      </c>
      <c r="I98">
        <v>20000</v>
      </c>
      <c r="J98">
        <v>20000</v>
      </c>
      <c r="K98">
        <v>0</v>
      </c>
      <c r="L98" t="s">
        <v>2</v>
      </c>
    </row>
    <row r="99" spans="1:12" x14ac:dyDescent="0.3">
      <c r="A99" s="68">
        <v>45729</v>
      </c>
      <c r="B99" t="s">
        <v>219</v>
      </c>
      <c r="C99" t="s">
        <v>898</v>
      </c>
      <c r="D99" t="s">
        <v>917</v>
      </c>
      <c r="E99" t="s">
        <v>189</v>
      </c>
      <c r="F99" t="s">
        <v>19</v>
      </c>
      <c r="G99" t="s">
        <v>907</v>
      </c>
      <c r="H99" t="s">
        <v>8</v>
      </c>
      <c r="I99">
        <v>14000</v>
      </c>
      <c r="J99">
        <v>14000</v>
      </c>
      <c r="K99">
        <v>0</v>
      </c>
      <c r="L99" t="s">
        <v>2</v>
      </c>
    </row>
    <row r="100" spans="1:12" x14ac:dyDescent="0.3">
      <c r="A100" s="68">
        <v>45730</v>
      </c>
      <c r="B100" t="s">
        <v>225</v>
      </c>
      <c r="C100" t="s">
        <v>898</v>
      </c>
      <c r="D100" t="s">
        <v>917</v>
      </c>
      <c r="E100" t="s">
        <v>189</v>
      </c>
      <c r="F100" t="s">
        <v>19</v>
      </c>
      <c r="G100" t="s">
        <v>907</v>
      </c>
      <c r="H100" t="s">
        <v>49</v>
      </c>
      <c r="I100">
        <v>14000</v>
      </c>
      <c r="J100">
        <v>14000</v>
      </c>
      <c r="K100">
        <v>0</v>
      </c>
      <c r="L100" t="s">
        <v>2</v>
      </c>
    </row>
    <row r="101" spans="1:12" x14ac:dyDescent="0.3">
      <c r="A101" s="68">
        <v>45730</v>
      </c>
      <c r="B101" t="s">
        <v>224</v>
      </c>
      <c r="C101" t="s">
        <v>898</v>
      </c>
      <c r="D101" t="s">
        <v>917</v>
      </c>
      <c r="E101" t="s">
        <v>189</v>
      </c>
      <c r="F101" t="s">
        <v>19</v>
      </c>
      <c r="G101" t="s">
        <v>907</v>
      </c>
      <c r="H101" t="s">
        <v>49</v>
      </c>
      <c r="I101">
        <v>14000</v>
      </c>
      <c r="J101">
        <v>14000</v>
      </c>
      <c r="K101">
        <v>0</v>
      </c>
      <c r="L101" t="s">
        <v>2</v>
      </c>
    </row>
    <row r="102" spans="1:12" x14ac:dyDescent="0.3">
      <c r="A102" s="68">
        <v>45730</v>
      </c>
      <c r="B102" t="s">
        <v>223</v>
      </c>
      <c r="C102" t="s">
        <v>898</v>
      </c>
      <c r="D102" t="s">
        <v>917</v>
      </c>
      <c r="E102" t="s">
        <v>189</v>
      </c>
      <c r="F102" t="s">
        <v>19</v>
      </c>
      <c r="G102" t="s">
        <v>907</v>
      </c>
      <c r="H102" t="s">
        <v>8</v>
      </c>
      <c r="I102">
        <v>14000</v>
      </c>
      <c r="J102">
        <v>7000</v>
      </c>
      <c r="K102">
        <v>7000</v>
      </c>
      <c r="L102" t="s">
        <v>61</v>
      </c>
    </row>
    <row r="103" spans="1:12" x14ac:dyDescent="0.3">
      <c r="A103" s="68">
        <v>45730</v>
      </c>
      <c r="B103" t="s">
        <v>222</v>
      </c>
      <c r="C103" t="s">
        <v>899</v>
      </c>
      <c r="D103" t="s">
        <v>916</v>
      </c>
      <c r="E103" t="s">
        <v>189</v>
      </c>
      <c r="F103" t="s">
        <v>19</v>
      </c>
      <c r="G103" t="s">
        <v>906</v>
      </c>
      <c r="H103" t="s">
        <v>49</v>
      </c>
      <c r="I103">
        <v>14000</v>
      </c>
      <c r="J103">
        <v>1000</v>
      </c>
      <c r="K103">
        <v>13000</v>
      </c>
      <c r="L103" t="s">
        <v>61</v>
      </c>
    </row>
    <row r="104" spans="1:12" x14ac:dyDescent="0.3">
      <c r="A104" s="68">
        <v>45730</v>
      </c>
      <c r="B104" t="s">
        <v>221</v>
      </c>
      <c r="C104" t="s">
        <v>898</v>
      </c>
      <c r="D104" t="s">
        <v>917</v>
      </c>
      <c r="E104" t="s">
        <v>189</v>
      </c>
      <c r="F104" t="s">
        <v>19</v>
      </c>
      <c r="G104" t="s">
        <v>907</v>
      </c>
      <c r="H104" t="s">
        <v>8</v>
      </c>
      <c r="I104">
        <v>14000</v>
      </c>
      <c r="J104">
        <v>14000</v>
      </c>
      <c r="K104">
        <v>0</v>
      </c>
      <c r="L104" t="s">
        <v>2</v>
      </c>
    </row>
    <row r="105" spans="1:12" x14ac:dyDescent="0.3">
      <c r="A105" s="68">
        <v>45731</v>
      </c>
      <c r="B105" t="s">
        <v>232</v>
      </c>
      <c r="C105" t="s">
        <v>898</v>
      </c>
      <c r="D105" t="s">
        <v>916</v>
      </c>
      <c r="E105" t="s">
        <v>189</v>
      </c>
      <c r="F105" t="s">
        <v>19</v>
      </c>
      <c r="G105" t="s">
        <v>906</v>
      </c>
      <c r="H105" t="s">
        <v>10</v>
      </c>
      <c r="I105">
        <v>14000</v>
      </c>
      <c r="J105">
        <v>2000</v>
      </c>
      <c r="K105">
        <v>12000</v>
      </c>
      <c r="L105" t="s">
        <v>61</v>
      </c>
    </row>
    <row r="106" spans="1:12" x14ac:dyDescent="0.3">
      <c r="A106" s="68">
        <v>45731</v>
      </c>
      <c r="B106" t="s">
        <v>231</v>
      </c>
      <c r="C106" t="s">
        <v>899</v>
      </c>
      <c r="D106" t="s">
        <v>917</v>
      </c>
      <c r="E106" t="s">
        <v>189</v>
      </c>
      <c r="F106" t="s">
        <v>19</v>
      </c>
      <c r="G106" t="s">
        <v>907</v>
      </c>
      <c r="H106" t="s">
        <v>49</v>
      </c>
      <c r="I106">
        <v>10000</v>
      </c>
      <c r="J106">
        <v>10000</v>
      </c>
      <c r="K106">
        <v>0</v>
      </c>
      <c r="L106" t="s">
        <v>2</v>
      </c>
    </row>
    <row r="107" spans="1:12" x14ac:dyDescent="0.3">
      <c r="A107" s="68">
        <v>45731</v>
      </c>
      <c r="B107" t="s">
        <v>230</v>
      </c>
      <c r="C107" t="s">
        <v>898</v>
      </c>
      <c r="D107" t="s">
        <v>917</v>
      </c>
      <c r="E107" t="s">
        <v>189</v>
      </c>
      <c r="F107" t="s">
        <v>19</v>
      </c>
      <c r="G107" t="s">
        <v>907</v>
      </c>
      <c r="H107" t="s">
        <v>49</v>
      </c>
      <c r="I107">
        <v>10000</v>
      </c>
      <c r="J107">
        <v>10000</v>
      </c>
      <c r="K107">
        <v>0</v>
      </c>
      <c r="L107" t="s">
        <v>2</v>
      </c>
    </row>
    <row r="108" spans="1:12" x14ac:dyDescent="0.3">
      <c r="A108" s="68">
        <v>45731</v>
      </c>
      <c r="B108" t="s">
        <v>228</v>
      </c>
      <c r="C108" t="s">
        <v>898</v>
      </c>
      <c r="D108" t="s">
        <v>913</v>
      </c>
      <c r="E108" t="s">
        <v>189</v>
      </c>
      <c r="F108" t="s">
        <v>19</v>
      </c>
      <c r="G108" t="s">
        <v>903</v>
      </c>
      <c r="H108" t="s">
        <v>10</v>
      </c>
      <c r="I108">
        <v>14000</v>
      </c>
      <c r="J108">
        <v>14000</v>
      </c>
      <c r="K108">
        <v>0</v>
      </c>
      <c r="L108" t="s">
        <v>2</v>
      </c>
    </row>
    <row r="109" spans="1:12" x14ac:dyDescent="0.3">
      <c r="A109" s="68">
        <v>45731</v>
      </c>
      <c r="B109" t="s">
        <v>227</v>
      </c>
      <c r="C109" t="s">
        <v>898</v>
      </c>
      <c r="D109" t="s">
        <v>917</v>
      </c>
      <c r="E109" t="s">
        <v>189</v>
      </c>
      <c r="F109" t="s">
        <v>19</v>
      </c>
      <c r="G109" t="s">
        <v>907</v>
      </c>
      <c r="H109" t="s">
        <v>10</v>
      </c>
      <c r="I109">
        <v>14000</v>
      </c>
      <c r="J109">
        <v>14000</v>
      </c>
      <c r="K109">
        <v>0</v>
      </c>
      <c r="L109" t="s">
        <v>2</v>
      </c>
    </row>
    <row r="110" spans="1:12" x14ac:dyDescent="0.3">
      <c r="A110" s="68">
        <v>45732</v>
      </c>
      <c r="B110" t="s">
        <v>234</v>
      </c>
      <c r="C110" t="s">
        <v>898</v>
      </c>
      <c r="D110" t="s">
        <v>913</v>
      </c>
      <c r="E110" t="s">
        <v>189</v>
      </c>
      <c r="F110" t="s">
        <v>19</v>
      </c>
      <c r="G110" t="s">
        <v>903</v>
      </c>
      <c r="H110" t="s">
        <v>8</v>
      </c>
      <c r="I110">
        <v>14000</v>
      </c>
      <c r="J110">
        <v>14000</v>
      </c>
      <c r="K110">
        <v>0</v>
      </c>
      <c r="L110" t="s">
        <v>2</v>
      </c>
    </row>
    <row r="111" spans="1:12" x14ac:dyDescent="0.3">
      <c r="A111" s="68">
        <v>45733</v>
      </c>
      <c r="B111" t="s">
        <v>237</v>
      </c>
      <c r="C111" t="s">
        <v>898</v>
      </c>
      <c r="D111" t="s">
        <v>917</v>
      </c>
      <c r="E111" t="s">
        <v>189</v>
      </c>
      <c r="F111" t="s">
        <v>19</v>
      </c>
      <c r="G111" t="s">
        <v>907</v>
      </c>
      <c r="H111" t="s">
        <v>10</v>
      </c>
      <c r="I111">
        <v>14000</v>
      </c>
      <c r="J111">
        <v>11000</v>
      </c>
      <c r="K111">
        <v>3000</v>
      </c>
      <c r="L111" t="s">
        <v>61</v>
      </c>
    </row>
    <row r="112" spans="1:12" x14ac:dyDescent="0.3">
      <c r="A112" s="68">
        <v>45733</v>
      </c>
      <c r="B112" t="s">
        <v>236</v>
      </c>
      <c r="C112" t="s">
        <v>898</v>
      </c>
      <c r="D112" t="s">
        <v>916</v>
      </c>
      <c r="E112" t="s">
        <v>189</v>
      </c>
      <c r="F112" t="s">
        <v>19</v>
      </c>
      <c r="G112" t="s">
        <v>906</v>
      </c>
      <c r="H112" t="s">
        <v>10</v>
      </c>
      <c r="I112">
        <v>14000</v>
      </c>
      <c r="J112">
        <v>1000</v>
      </c>
      <c r="K112">
        <v>13000</v>
      </c>
      <c r="L112" t="s">
        <v>61</v>
      </c>
    </row>
    <row r="113" spans="1:12" x14ac:dyDescent="0.3">
      <c r="A113" s="68">
        <v>45733</v>
      </c>
      <c r="B113" t="s">
        <v>239</v>
      </c>
      <c r="C113" t="s">
        <v>898</v>
      </c>
      <c r="D113" t="s">
        <v>916</v>
      </c>
      <c r="E113" t="s">
        <v>189</v>
      </c>
      <c r="F113" t="s">
        <v>19</v>
      </c>
      <c r="G113" t="s">
        <v>906</v>
      </c>
      <c r="H113" t="s">
        <v>10</v>
      </c>
      <c r="I113">
        <v>14000</v>
      </c>
      <c r="J113">
        <v>1000</v>
      </c>
      <c r="K113">
        <v>13000</v>
      </c>
      <c r="L113" t="s">
        <v>61</v>
      </c>
    </row>
    <row r="114" spans="1:12" x14ac:dyDescent="0.3">
      <c r="A114" s="68">
        <v>45733</v>
      </c>
      <c r="B114" t="s">
        <v>238</v>
      </c>
      <c r="C114" t="s">
        <v>898</v>
      </c>
      <c r="D114" t="s">
        <v>913</v>
      </c>
      <c r="E114" t="s">
        <v>189</v>
      </c>
      <c r="F114" t="s">
        <v>19</v>
      </c>
      <c r="G114" t="s">
        <v>903</v>
      </c>
      <c r="H114" t="s">
        <v>49</v>
      </c>
      <c r="I114">
        <v>14000</v>
      </c>
      <c r="J114">
        <v>14000</v>
      </c>
      <c r="K114">
        <v>0</v>
      </c>
      <c r="L114" t="s">
        <v>2</v>
      </c>
    </row>
    <row r="115" spans="1:12" x14ac:dyDescent="0.3">
      <c r="A115" s="68">
        <v>45734</v>
      </c>
      <c r="B115" t="s">
        <v>241</v>
      </c>
      <c r="C115" t="s">
        <v>898</v>
      </c>
      <c r="D115" t="s">
        <v>917</v>
      </c>
      <c r="E115" t="s">
        <v>189</v>
      </c>
      <c r="F115" t="s">
        <v>19</v>
      </c>
      <c r="G115" t="s">
        <v>907</v>
      </c>
      <c r="H115" t="s">
        <v>49</v>
      </c>
      <c r="I115">
        <v>14000</v>
      </c>
      <c r="J115">
        <v>14000</v>
      </c>
      <c r="K115">
        <v>0</v>
      </c>
      <c r="L115" t="s">
        <v>2</v>
      </c>
    </row>
    <row r="116" spans="1:12" x14ac:dyDescent="0.3">
      <c r="A116" s="68">
        <v>45734</v>
      </c>
      <c r="B116" t="s">
        <v>242</v>
      </c>
      <c r="C116" t="s">
        <v>898</v>
      </c>
      <c r="D116" t="s">
        <v>913</v>
      </c>
      <c r="E116" t="s">
        <v>189</v>
      </c>
      <c r="F116" t="s">
        <v>19</v>
      </c>
      <c r="G116" t="s">
        <v>903</v>
      </c>
      <c r="H116" t="s">
        <v>8</v>
      </c>
      <c r="I116">
        <v>14000</v>
      </c>
      <c r="J116">
        <v>7000</v>
      </c>
      <c r="K116">
        <v>7000</v>
      </c>
      <c r="L116" t="s">
        <v>61</v>
      </c>
    </row>
    <row r="117" spans="1:12" x14ac:dyDescent="0.3">
      <c r="A117" s="68">
        <v>45734</v>
      </c>
      <c r="B117" t="s">
        <v>243</v>
      </c>
      <c r="C117" t="s">
        <v>898</v>
      </c>
      <c r="D117" t="s">
        <v>917</v>
      </c>
      <c r="E117" t="s">
        <v>189</v>
      </c>
      <c r="F117" t="s">
        <v>19</v>
      </c>
      <c r="G117" t="s">
        <v>907</v>
      </c>
      <c r="H117" t="s">
        <v>10</v>
      </c>
      <c r="I117">
        <v>14000</v>
      </c>
      <c r="J117">
        <v>14000</v>
      </c>
      <c r="K117">
        <v>0</v>
      </c>
      <c r="L117" t="s">
        <v>2</v>
      </c>
    </row>
    <row r="118" spans="1:12" x14ac:dyDescent="0.3">
      <c r="A118" s="68">
        <v>45734</v>
      </c>
      <c r="B118" t="s">
        <v>244</v>
      </c>
      <c r="C118" t="s">
        <v>898</v>
      </c>
      <c r="D118" t="s">
        <v>916</v>
      </c>
      <c r="E118" t="s">
        <v>189</v>
      </c>
      <c r="F118" t="s">
        <v>19</v>
      </c>
      <c r="G118" t="s">
        <v>906</v>
      </c>
      <c r="H118" t="s">
        <v>49</v>
      </c>
      <c r="I118">
        <v>14000</v>
      </c>
      <c r="J118">
        <v>0</v>
      </c>
      <c r="K118">
        <v>14000</v>
      </c>
      <c r="L118" t="s">
        <v>61</v>
      </c>
    </row>
    <row r="119" spans="1:12" x14ac:dyDescent="0.3">
      <c r="A119" s="68">
        <v>45734</v>
      </c>
      <c r="B119" t="s">
        <v>245</v>
      </c>
      <c r="C119" t="s">
        <v>898</v>
      </c>
      <c r="D119" t="s">
        <v>917</v>
      </c>
      <c r="E119" t="s">
        <v>189</v>
      </c>
      <c r="F119" t="s">
        <v>19</v>
      </c>
      <c r="G119" t="s">
        <v>907</v>
      </c>
      <c r="H119" t="s">
        <v>49</v>
      </c>
      <c r="I119">
        <v>14000</v>
      </c>
      <c r="J119">
        <v>14000</v>
      </c>
      <c r="K119">
        <v>0</v>
      </c>
      <c r="L119" t="s">
        <v>2</v>
      </c>
    </row>
    <row r="120" spans="1:12" x14ac:dyDescent="0.3">
      <c r="A120" s="68">
        <v>45735</v>
      </c>
      <c r="B120" t="s">
        <v>247</v>
      </c>
      <c r="C120" t="s">
        <v>898</v>
      </c>
      <c r="D120" t="s">
        <v>917</v>
      </c>
      <c r="E120" t="s">
        <v>189</v>
      </c>
      <c r="F120" t="s">
        <v>19</v>
      </c>
      <c r="G120" t="s">
        <v>907</v>
      </c>
      <c r="H120" t="s">
        <v>10</v>
      </c>
      <c r="I120">
        <v>14000</v>
      </c>
      <c r="J120">
        <v>7000</v>
      </c>
      <c r="K120">
        <v>7000</v>
      </c>
      <c r="L120" t="s">
        <v>61</v>
      </c>
    </row>
    <row r="121" spans="1:12" x14ac:dyDescent="0.3">
      <c r="A121" s="68">
        <v>45735</v>
      </c>
      <c r="B121" t="s">
        <v>248</v>
      </c>
      <c r="C121" t="s">
        <v>898</v>
      </c>
      <c r="D121" t="s">
        <v>916</v>
      </c>
      <c r="E121" t="s">
        <v>189</v>
      </c>
      <c r="F121" t="s">
        <v>19</v>
      </c>
      <c r="G121" t="s">
        <v>906</v>
      </c>
      <c r="H121" t="s">
        <v>10</v>
      </c>
      <c r="I121">
        <v>14000</v>
      </c>
      <c r="J121">
        <v>1000</v>
      </c>
      <c r="K121">
        <v>13000</v>
      </c>
      <c r="L121" t="s">
        <v>61</v>
      </c>
    </row>
    <row r="122" spans="1:12" x14ac:dyDescent="0.3">
      <c r="A122" s="68">
        <v>45735</v>
      </c>
      <c r="B122" t="s">
        <v>249</v>
      </c>
      <c r="C122" t="s">
        <v>898</v>
      </c>
      <c r="D122" t="s">
        <v>916</v>
      </c>
      <c r="E122" t="s">
        <v>189</v>
      </c>
      <c r="F122" t="s">
        <v>19</v>
      </c>
      <c r="G122" t="s">
        <v>906</v>
      </c>
      <c r="H122" t="s">
        <v>10</v>
      </c>
      <c r="I122">
        <v>14000</v>
      </c>
      <c r="J122">
        <v>2000</v>
      </c>
      <c r="K122">
        <v>12000</v>
      </c>
      <c r="L122" t="s">
        <v>61</v>
      </c>
    </row>
    <row r="123" spans="1:12" x14ac:dyDescent="0.3">
      <c r="A123" s="68">
        <v>45735</v>
      </c>
      <c r="B123" t="s">
        <v>250</v>
      </c>
      <c r="C123" t="s">
        <v>898</v>
      </c>
      <c r="D123" t="s">
        <v>917</v>
      </c>
      <c r="E123" t="s">
        <v>189</v>
      </c>
      <c r="F123" t="s">
        <v>19</v>
      </c>
      <c r="G123" t="s">
        <v>907</v>
      </c>
      <c r="H123" t="s">
        <v>8</v>
      </c>
      <c r="I123">
        <v>14000</v>
      </c>
      <c r="J123">
        <v>14000</v>
      </c>
      <c r="K123">
        <v>0</v>
      </c>
      <c r="L123" t="s">
        <v>2</v>
      </c>
    </row>
    <row r="124" spans="1:12" x14ac:dyDescent="0.3">
      <c r="A124" s="68">
        <v>45735</v>
      </c>
      <c r="B124" t="s">
        <v>252</v>
      </c>
      <c r="C124" t="s">
        <v>898</v>
      </c>
      <c r="D124" t="s">
        <v>917</v>
      </c>
      <c r="E124" t="s">
        <v>189</v>
      </c>
      <c r="F124" t="s">
        <v>19</v>
      </c>
      <c r="G124" t="s">
        <v>907</v>
      </c>
      <c r="H124" t="s">
        <v>8</v>
      </c>
      <c r="I124">
        <v>14000</v>
      </c>
      <c r="J124">
        <v>14000</v>
      </c>
      <c r="K124">
        <v>0</v>
      </c>
      <c r="L124" t="s">
        <v>2</v>
      </c>
    </row>
    <row r="125" spans="1:12" x14ac:dyDescent="0.3">
      <c r="A125" s="68">
        <v>45736</v>
      </c>
      <c r="B125" t="s">
        <v>254</v>
      </c>
      <c r="C125" t="s">
        <v>898</v>
      </c>
      <c r="D125" t="s">
        <v>917</v>
      </c>
      <c r="E125" t="s">
        <v>189</v>
      </c>
      <c r="F125" t="s">
        <v>19</v>
      </c>
      <c r="G125" t="s">
        <v>907</v>
      </c>
      <c r="H125" t="s">
        <v>10</v>
      </c>
      <c r="I125">
        <v>14000</v>
      </c>
      <c r="J125">
        <v>14000</v>
      </c>
      <c r="K125">
        <v>0</v>
      </c>
      <c r="L125" t="s">
        <v>2</v>
      </c>
    </row>
    <row r="126" spans="1:12" x14ac:dyDescent="0.3">
      <c r="A126" s="68">
        <v>45736</v>
      </c>
      <c r="B126" t="s">
        <v>255</v>
      </c>
      <c r="C126" t="s">
        <v>898</v>
      </c>
      <c r="D126" t="s">
        <v>916</v>
      </c>
      <c r="E126" t="s">
        <v>189</v>
      </c>
      <c r="F126" t="s">
        <v>19</v>
      </c>
      <c r="G126" t="s">
        <v>906</v>
      </c>
      <c r="H126" t="s">
        <v>49</v>
      </c>
      <c r="I126">
        <v>14000</v>
      </c>
      <c r="J126">
        <v>2000</v>
      </c>
      <c r="K126">
        <v>12000</v>
      </c>
      <c r="L126" t="s">
        <v>61</v>
      </c>
    </row>
    <row r="127" spans="1:12" x14ac:dyDescent="0.3">
      <c r="A127" s="68">
        <v>45737</v>
      </c>
      <c r="B127" t="s">
        <v>257</v>
      </c>
      <c r="C127" t="s">
        <v>898</v>
      </c>
      <c r="D127" t="s">
        <v>917</v>
      </c>
      <c r="E127" t="s">
        <v>189</v>
      </c>
      <c r="F127" t="s">
        <v>19</v>
      </c>
      <c r="G127" t="s">
        <v>907</v>
      </c>
      <c r="H127" t="s">
        <v>8</v>
      </c>
      <c r="I127">
        <v>14000</v>
      </c>
      <c r="J127">
        <v>14000</v>
      </c>
      <c r="K127">
        <v>0</v>
      </c>
      <c r="L127" t="s">
        <v>2</v>
      </c>
    </row>
    <row r="128" spans="1:12" x14ac:dyDescent="0.3">
      <c r="A128" s="68">
        <v>45737</v>
      </c>
      <c r="B128" t="s">
        <v>258</v>
      </c>
      <c r="C128" t="s">
        <v>898</v>
      </c>
      <c r="D128" t="s">
        <v>917</v>
      </c>
      <c r="E128" t="s">
        <v>189</v>
      </c>
      <c r="F128" t="s">
        <v>19</v>
      </c>
      <c r="G128" t="s">
        <v>907</v>
      </c>
      <c r="H128" t="s">
        <v>10</v>
      </c>
      <c r="I128">
        <v>14000</v>
      </c>
      <c r="J128">
        <v>14000</v>
      </c>
      <c r="K128">
        <v>0</v>
      </c>
      <c r="L128" t="s">
        <v>2</v>
      </c>
    </row>
    <row r="129" spans="1:12" x14ac:dyDescent="0.3">
      <c r="A129" s="68">
        <v>45737</v>
      </c>
      <c r="B129" t="s">
        <v>259</v>
      </c>
      <c r="C129" t="s">
        <v>898</v>
      </c>
      <c r="D129" t="s">
        <v>917</v>
      </c>
      <c r="E129" t="s">
        <v>189</v>
      </c>
      <c r="F129" t="s">
        <v>19</v>
      </c>
      <c r="G129" t="s">
        <v>907</v>
      </c>
      <c r="H129" t="s">
        <v>49</v>
      </c>
      <c r="I129">
        <v>14000</v>
      </c>
      <c r="J129">
        <v>14000</v>
      </c>
      <c r="K129">
        <v>0</v>
      </c>
      <c r="L129" t="s">
        <v>2</v>
      </c>
    </row>
    <row r="130" spans="1:12" x14ac:dyDescent="0.3">
      <c r="A130" s="68">
        <v>45738</v>
      </c>
      <c r="B130" t="s">
        <v>261</v>
      </c>
      <c r="C130" t="s">
        <v>898</v>
      </c>
      <c r="D130" t="s">
        <v>917</v>
      </c>
      <c r="E130" t="s">
        <v>189</v>
      </c>
      <c r="F130" t="s">
        <v>19</v>
      </c>
      <c r="G130" t="s">
        <v>907</v>
      </c>
      <c r="H130" t="s">
        <v>49</v>
      </c>
      <c r="I130">
        <v>14000</v>
      </c>
      <c r="J130">
        <v>14000</v>
      </c>
      <c r="K130">
        <v>0</v>
      </c>
      <c r="L130" t="s">
        <v>2</v>
      </c>
    </row>
    <row r="131" spans="1:12" x14ac:dyDescent="0.3">
      <c r="A131" s="68">
        <v>45738</v>
      </c>
      <c r="B131" t="s">
        <v>263</v>
      </c>
      <c r="C131" t="s">
        <v>898</v>
      </c>
      <c r="D131" t="s">
        <v>914</v>
      </c>
      <c r="E131" t="s">
        <v>189</v>
      </c>
      <c r="F131" t="s">
        <v>19</v>
      </c>
      <c r="G131" t="s">
        <v>904</v>
      </c>
      <c r="H131" t="s">
        <v>49</v>
      </c>
      <c r="I131">
        <v>14000</v>
      </c>
      <c r="J131">
        <v>14000</v>
      </c>
      <c r="K131">
        <v>0</v>
      </c>
      <c r="L131" t="s">
        <v>2</v>
      </c>
    </row>
    <row r="132" spans="1:12" x14ac:dyDescent="0.3">
      <c r="A132" s="68">
        <v>45738</v>
      </c>
      <c r="B132" t="s">
        <v>265</v>
      </c>
      <c r="C132" t="s">
        <v>898</v>
      </c>
      <c r="D132" t="s">
        <v>917</v>
      </c>
      <c r="E132" t="s">
        <v>189</v>
      </c>
      <c r="F132" t="s">
        <v>19</v>
      </c>
      <c r="G132" t="s">
        <v>907</v>
      </c>
      <c r="H132" t="s">
        <v>49</v>
      </c>
      <c r="I132">
        <v>14000</v>
      </c>
      <c r="J132">
        <v>7000</v>
      </c>
      <c r="K132">
        <v>7000</v>
      </c>
      <c r="L132" t="s">
        <v>61</v>
      </c>
    </row>
    <row r="133" spans="1:12" x14ac:dyDescent="0.3">
      <c r="A133" s="68">
        <v>45738</v>
      </c>
      <c r="B133" t="s">
        <v>262</v>
      </c>
      <c r="C133" t="s">
        <v>898</v>
      </c>
      <c r="D133" t="s">
        <v>917</v>
      </c>
      <c r="E133" t="s">
        <v>189</v>
      </c>
      <c r="F133" t="s">
        <v>19</v>
      </c>
      <c r="G133" t="s">
        <v>907</v>
      </c>
      <c r="H133" t="s">
        <v>8</v>
      </c>
      <c r="I133">
        <v>14000</v>
      </c>
      <c r="J133">
        <v>14000</v>
      </c>
      <c r="K133">
        <v>0</v>
      </c>
      <c r="L133" t="s">
        <v>2</v>
      </c>
    </row>
    <row r="134" spans="1:12" x14ac:dyDescent="0.3">
      <c r="A134" s="68">
        <v>45739</v>
      </c>
      <c r="B134" t="s">
        <v>268</v>
      </c>
      <c r="C134" t="s">
        <v>898</v>
      </c>
      <c r="D134" t="s">
        <v>917</v>
      </c>
      <c r="E134" t="s">
        <v>189</v>
      </c>
      <c r="F134" t="s">
        <v>19</v>
      </c>
      <c r="G134" t="s">
        <v>907</v>
      </c>
      <c r="H134" t="s">
        <v>8</v>
      </c>
      <c r="I134">
        <v>14000</v>
      </c>
      <c r="J134">
        <v>7000</v>
      </c>
      <c r="K134">
        <v>7000</v>
      </c>
      <c r="L134" t="s">
        <v>61</v>
      </c>
    </row>
    <row r="135" spans="1:12" x14ac:dyDescent="0.3">
      <c r="A135" s="68">
        <v>45739</v>
      </c>
      <c r="B135" t="s">
        <v>269</v>
      </c>
      <c r="C135" t="s">
        <v>898</v>
      </c>
      <c r="D135" t="s">
        <v>917</v>
      </c>
      <c r="E135" t="s">
        <v>189</v>
      </c>
      <c r="F135" t="s">
        <v>19</v>
      </c>
      <c r="G135" t="s">
        <v>907</v>
      </c>
      <c r="H135" t="s">
        <v>10</v>
      </c>
      <c r="I135">
        <v>14000</v>
      </c>
      <c r="J135">
        <v>14000</v>
      </c>
      <c r="K135">
        <v>0</v>
      </c>
      <c r="L135" t="s">
        <v>2</v>
      </c>
    </row>
    <row r="136" spans="1:12" x14ac:dyDescent="0.3">
      <c r="A136" s="68">
        <v>45739</v>
      </c>
      <c r="B136" t="s">
        <v>267</v>
      </c>
      <c r="C136" t="s">
        <v>898</v>
      </c>
      <c r="D136" t="s">
        <v>917</v>
      </c>
      <c r="E136" t="s">
        <v>189</v>
      </c>
      <c r="F136" t="s">
        <v>19</v>
      </c>
      <c r="G136" t="s">
        <v>907</v>
      </c>
      <c r="H136" t="s">
        <v>10</v>
      </c>
      <c r="I136">
        <v>14000</v>
      </c>
      <c r="J136">
        <v>14000</v>
      </c>
      <c r="K136">
        <v>0</v>
      </c>
      <c r="L136" t="s">
        <v>2</v>
      </c>
    </row>
    <row r="137" spans="1:12" x14ac:dyDescent="0.3">
      <c r="A137" s="68">
        <v>45741</v>
      </c>
      <c r="B137" t="s">
        <v>271</v>
      </c>
      <c r="C137" t="s">
        <v>898</v>
      </c>
      <c r="D137" t="s">
        <v>917</v>
      </c>
      <c r="E137" t="s">
        <v>189</v>
      </c>
      <c r="F137" t="s">
        <v>19</v>
      </c>
      <c r="G137" t="s">
        <v>907</v>
      </c>
      <c r="H137" t="s">
        <v>8</v>
      </c>
      <c r="I137">
        <v>14000</v>
      </c>
      <c r="J137">
        <v>14000</v>
      </c>
      <c r="K137">
        <v>0</v>
      </c>
      <c r="L137" t="s">
        <v>2</v>
      </c>
    </row>
    <row r="138" spans="1:12" x14ac:dyDescent="0.3">
      <c r="A138" s="68">
        <v>45741</v>
      </c>
      <c r="B138" t="s">
        <v>272</v>
      </c>
      <c r="C138" t="s">
        <v>898</v>
      </c>
      <c r="D138" t="s">
        <v>916</v>
      </c>
      <c r="E138" t="s">
        <v>189</v>
      </c>
      <c r="F138" t="s">
        <v>19</v>
      </c>
      <c r="G138" t="s">
        <v>906</v>
      </c>
      <c r="H138" t="s">
        <v>49</v>
      </c>
      <c r="I138">
        <v>14000</v>
      </c>
      <c r="J138">
        <v>1000</v>
      </c>
      <c r="K138">
        <v>13000</v>
      </c>
      <c r="L138" t="s">
        <v>61</v>
      </c>
    </row>
    <row r="139" spans="1:12" x14ac:dyDescent="0.3">
      <c r="A139" s="68">
        <v>45741</v>
      </c>
      <c r="B139" t="s">
        <v>273</v>
      </c>
      <c r="C139" t="s">
        <v>899</v>
      </c>
      <c r="D139" t="s">
        <v>917</v>
      </c>
      <c r="E139" t="s">
        <v>189</v>
      </c>
      <c r="F139" t="s">
        <v>19</v>
      </c>
      <c r="G139" t="s">
        <v>907</v>
      </c>
      <c r="H139" t="s">
        <v>49</v>
      </c>
      <c r="I139">
        <v>14000</v>
      </c>
      <c r="J139">
        <v>14000</v>
      </c>
      <c r="K139">
        <v>0</v>
      </c>
      <c r="L139" t="s">
        <v>2</v>
      </c>
    </row>
    <row r="140" spans="1:12" x14ac:dyDescent="0.3">
      <c r="A140" s="68">
        <v>45742</v>
      </c>
      <c r="B140" t="s">
        <v>275</v>
      </c>
      <c r="C140" t="s">
        <v>898</v>
      </c>
      <c r="D140" t="s">
        <v>917</v>
      </c>
      <c r="E140" t="s">
        <v>189</v>
      </c>
      <c r="F140" t="s">
        <v>19</v>
      </c>
      <c r="G140" t="s">
        <v>907</v>
      </c>
      <c r="H140" t="s">
        <v>8</v>
      </c>
      <c r="I140">
        <v>14000</v>
      </c>
      <c r="J140">
        <v>14000</v>
      </c>
      <c r="K140">
        <v>0</v>
      </c>
      <c r="L140" t="s">
        <v>2</v>
      </c>
    </row>
    <row r="141" spans="1:12" x14ac:dyDescent="0.3">
      <c r="A141" s="68">
        <v>45743</v>
      </c>
      <c r="B141" t="s">
        <v>277</v>
      </c>
      <c r="C141" t="s">
        <v>898</v>
      </c>
      <c r="D141" t="s">
        <v>916</v>
      </c>
      <c r="E141" t="s">
        <v>189</v>
      </c>
      <c r="F141" t="s">
        <v>19</v>
      </c>
      <c r="G141" t="s">
        <v>906</v>
      </c>
      <c r="H141" t="s">
        <v>8</v>
      </c>
      <c r="I141">
        <v>14000</v>
      </c>
      <c r="J141">
        <v>3000</v>
      </c>
      <c r="K141">
        <v>11000</v>
      </c>
      <c r="L141" t="s">
        <v>61</v>
      </c>
    </row>
    <row r="142" spans="1:12" x14ac:dyDescent="0.3">
      <c r="A142" s="68">
        <v>45743</v>
      </c>
      <c r="B142" t="s">
        <v>278</v>
      </c>
      <c r="C142" t="s">
        <v>898</v>
      </c>
      <c r="D142" t="s">
        <v>917</v>
      </c>
      <c r="E142" t="s">
        <v>189</v>
      </c>
      <c r="F142" t="s">
        <v>19</v>
      </c>
      <c r="G142" t="s">
        <v>907</v>
      </c>
      <c r="H142" t="s">
        <v>10</v>
      </c>
      <c r="I142">
        <v>14000</v>
      </c>
      <c r="J142">
        <v>14000</v>
      </c>
      <c r="K142">
        <v>0</v>
      </c>
      <c r="L142" t="s">
        <v>2</v>
      </c>
    </row>
    <row r="143" spans="1:12" x14ac:dyDescent="0.3">
      <c r="A143" s="68">
        <v>45744</v>
      </c>
      <c r="B143" t="s">
        <v>280</v>
      </c>
      <c r="C143" t="s">
        <v>898</v>
      </c>
      <c r="D143" t="s">
        <v>916</v>
      </c>
      <c r="E143" t="s">
        <v>189</v>
      </c>
      <c r="F143" t="s">
        <v>19</v>
      </c>
      <c r="G143" t="s">
        <v>906</v>
      </c>
      <c r="H143" t="s">
        <v>49</v>
      </c>
      <c r="I143">
        <v>14000</v>
      </c>
      <c r="J143">
        <v>1000</v>
      </c>
      <c r="K143">
        <v>13000</v>
      </c>
      <c r="L143" t="s">
        <v>61</v>
      </c>
    </row>
    <row r="144" spans="1:12" x14ac:dyDescent="0.3">
      <c r="A144" s="68">
        <v>45745</v>
      </c>
      <c r="B144" t="s">
        <v>282</v>
      </c>
      <c r="C144" t="s">
        <v>898</v>
      </c>
      <c r="D144" t="s">
        <v>917</v>
      </c>
      <c r="E144" t="s">
        <v>189</v>
      </c>
      <c r="F144" t="s">
        <v>19</v>
      </c>
      <c r="G144" t="s">
        <v>907</v>
      </c>
      <c r="H144" t="s">
        <v>10</v>
      </c>
      <c r="I144">
        <v>14000</v>
      </c>
      <c r="J144">
        <v>14000</v>
      </c>
      <c r="K144">
        <v>0</v>
      </c>
      <c r="L144" t="s">
        <v>2</v>
      </c>
    </row>
    <row r="145" spans="1:12" x14ac:dyDescent="0.3">
      <c r="A145" s="68">
        <v>45745</v>
      </c>
      <c r="B145" t="s">
        <v>284</v>
      </c>
      <c r="C145" t="s">
        <v>899</v>
      </c>
      <c r="D145" t="s">
        <v>916</v>
      </c>
      <c r="E145" t="s">
        <v>189</v>
      </c>
      <c r="F145" t="s">
        <v>19</v>
      </c>
      <c r="G145" t="s">
        <v>906</v>
      </c>
      <c r="H145" t="s">
        <v>49</v>
      </c>
      <c r="I145">
        <v>14000</v>
      </c>
      <c r="J145">
        <v>1500</v>
      </c>
      <c r="K145">
        <v>12500</v>
      </c>
      <c r="L145" t="s">
        <v>61</v>
      </c>
    </row>
    <row r="146" spans="1:12" x14ac:dyDescent="0.3">
      <c r="A146" s="68">
        <v>45745</v>
      </c>
      <c r="B146" t="s">
        <v>283</v>
      </c>
      <c r="C146" t="s">
        <v>899</v>
      </c>
      <c r="D146" t="s">
        <v>917</v>
      </c>
      <c r="E146" t="s">
        <v>189</v>
      </c>
      <c r="F146" t="s">
        <v>19</v>
      </c>
      <c r="G146" t="s">
        <v>907</v>
      </c>
      <c r="H146" t="s">
        <v>8</v>
      </c>
      <c r="I146">
        <v>14000</v>
      </c>
      <c r="J146">
        <v>14000</v>
      </c>
      <c r="K146">
        <v>0</v>
      </c>
      <c r="L146" t="s">
        <v>2</v>
      </c>
    </row>
    <row r="147" spans="1:12" x14ac:dyDescent="0.3">
      <c r="A147" s="68">
        <v>45748</v>
      </c>
      <c r="B147" t="s">
        <v>74</v>
      </c>
      <c r="C147" t="s">
        <v>898</v>
      </c>
      <c r="D147" t="s">
        <v>913</v>
      </c>
      <c r="E147" t="s">
        <v>67</v>
      </c>
      <c r="F147" t="s">
        <v>19</v>
      </c>
      <c r="G147" t="s">
        <v>903</v>
      </c>
      <c r="H147" t="s">
        <v>49</v>
      </c>
      <c r="I147">
        <v>11800</v>
      </c>
      <c r="J147">
        <v>5000</v>
      </c>
      <c r="K147">
        <v>6800</v>
      </c>
      <c r="L147" t="s">
        <v>61</v>
      </c>
    </row>
    <row r="148" spans="1:12" x14ac:dyDescent="0.3">
      <c r="A148" s="68">
        <v>45748</v>
      </c>
      <c r="B148" t="s">
        <v>73</v>
      </c>
      <c r="C148" t="s">
        <v>899</v>
      </c>
      <c r="D148" t="s">
        <v>915</v>
      </c>
      <c r="E148" t="s">
        <v>67</v>
      </c>
      <c r="F148" t="s">
        <v>19</v>
      </c>
      <c r="G148" t="s">
        <v>905</v>
      </c>
      <c r="H148" t="s">
        <v>902</v>
      </c>
      <c r="I148">
        <v>11800</v>
      </c>
      <c r="J148">
        <v>11800</v>
      </c>
      <c r="K148">
        <v>0</v>
      </c>
      <c r="L148" t="s">
        <v>2</v>
      </c>
    </row>
    <row r="149" spans="1:12" x14ac:dyDescent="0.3">
      <c r="A149" s="68">
        <v>45748</v>
      </c>
      <c r="B149" t="s">
        <v>72</v>
      </c>
      <c r="C149" t="s">
        <v>899</v>
      </c>
      <c r="D149" t="s">
        <v>915</v>
      </c>
      <c r="E149" t="s">
        <v>67</v>
      </c>
      <c r="F149" t="s">
        <v>19</v>
      </c>
      <c r="G149" t="s">
        <v>905</v>
      </c>
      <c r="H149" t="s">
        <v>902</v>
      </c>
      <c r="I149">
        <v>11800</v>
      </c>
      <c r="J149">
        <v>11800</v>
      </c>
      <c r="K149">
        <v>0</v>
      </c>
      <c r="L149" t="s">
        <v>2</v>
      </c>
    </row>
    <row r="150" spans="1:12" x14ac:dyDescent="0.3">
      <c r="A150" s="68">
        <v>45749</v>
      </c>
      <c r="B150" t="s">
        <v>120</v>
      </c>
      <c r="C150" t="s">
        <v>898</v>
      </c>
      <c r="D150" t="s">
        <v>915</v>
      </c>
      <c r="E150" t="s">
        <v>116</v>
      </c>
      <c r="F150" t="s">
        <v>19</v>
      </c>
      <c r="G150" t="s">
        <v>905</v>
      </c>
      <c r="H150" t="s">
        <v>49</v>
      </c>
      <c r="I150">
        <v>14000</v>
      </c>
      <c r="J150">
        <v>7000</v>
      </c>
      <c r="K150">
        <v>7000</v>
      </c>
      <c r="L150" t="s">
        <v>61</v>
      </c>
    </row>
    <row r="151" spans="1:12" x14ac:dyDescent="0.3">
      <c r="A151" s="68">
        <v>45750</v>
      </c>
      <c r="B151" t="s">
        <v>191</v>
      </c>
      <c r="C151" t="s">
        <v>898</v>
      </c>
      <c r="D151" t="s">
        <v>917</v>
      </c>
      <c r="E151" t="s">
        <v>189</v>
      </c>
      <c r="F151" t="s">
        <v>19</v>
      </c>
      <c r="G151" t="s">
        <v>907</v>
      </c>
      <c r="H151" t="s">
        <v>10</v>
      </c>
      <c r="I151">
        <v>14000</v>
      </c>
      <c r="J151">
        <v>14000</v>
      </c>
      <c r="K151">
        <v>0</v>
      </c>
      <c r="L151" t="s">
        <v>2</v>
      </c>
    </row>
    <row r="152" spans="1:12" x14ac:dyDescent="0.3">
      <c r="A152" s="68">
        <v>45779</v>
      </c>
      <c r="B152" t="s">
        <v>122</v>
      </c>
      <c r="C152" t="s">
        <v>898</v>
      </c>
      <c r="D152" t="s">
        <v>915</v>
      </c>
      <c r="E152" t="s">
        <v>116</v>
      </c>
      <c r="F152" t="s">
        <v>19</v>
      </c>
      <c r="G152" t="s">
        <v>905</v>
      </c>
      <c r="H152" t="s">
        <v>49</v>
      </c>
      <c r="I152">
        <v>14000</v>
      </c>
      <c r="J152">
        <v>14000</v>
      </c>
      <c r="K152">
        <v>0</v>
      </c>
      <c r="L152" t="s">
        <v>2</v>
      </c>
    </row>
    <row r="153" spans="1:12" x14ac:dyDescent="0.3">
      <c r="A153" s="68">
        <v>45779</v>
      </c>
      <c r="B153" t="s">
        <v>121</v>
      </c>
      <c r="C153" t="s">
        <v>898</v>
      </c>
      <c r="D153" t="s">
        <v>916</v>
      </c>
      <c r="E153" t="s">
        <v>116</v>
      </c>
      <c r="F153" t="s">
        <v>19</v>
      </c>
      <c r="G153" t="s">
        <v>906</v>
      </c>
      <c r="H153" t="s">
        <v>10</v>
      </c>
      <c r="I153">
        <v>14000</v>
      </c>
      <c r="J153">
        <v>1000</v>
      </c>
      <c r="K153">
        <v>13000</v>
      </c>
      <c r="L153" t="s">
        <v>61</v>
      </c>
    </row>
    <row r="154" spans="1:12" x14ac:dyDescent="0.3">
      <c r="A154" s="68">
        <v>45780</v>
      </c>
      <c r="B154" t="s">
        <v>193</v>
      </c>
      <c r="C154" t="s">
        <v>898</v>
      </c>
      <c r="D154" t="s">
        <v>917</v>
      </c>
      <c r="E154" t="s">
        <v>189</v>
      </c>
      <c r="F154" t="s">
        <v>19</v>
      </c>
      <c r="G154" t="s">
        <v>907</v>
      </c>
      <c r="H154" t="s">
        <v>49</v>
      </c>
      <c r="I154">
        <v>14000</v>
      </c>
      <c r="J154">
        <v>14000</v>
      </c>
      <c r="K154">
        <v>0</v>
      </c>
      <c r="L154" t="s">
        <v>2</v>
      </c>
    </row>
    <row r="155" spans="1:12" x14ac:dyDescent="0.3">
      <c r="A155" s="68">
        <v>45810</v>
      </c>
      <c r="B155" t="s">
        <v>123</v>
      </c>
      <c r="C155" t="s">
        <v>898</v>
      </c>
      <c r="D155" t="s">
        <v>915</v>
      </c>
      <c r="E155" t="s">
        <v>116</v>
      </c>
      <c r="F155" t="s">
        <v>19</v>
      </c>
      <c r="G155" t="s">
        <v>905</v>
      </c>
      <c r="H155" t="s">
        <v>49</v>
      </c>
      <c r="I155">
        <v>14000</v>
      </c>
      <c r="J155">
        <v>5000</v>
      </c>
      <c r="K155">
        <v>9000</v>
      </c>
      <c r="L155" t="s">
        <v>61</v>
      </c>
    </row>
    <row r="156" spans="1:12" x14ac:dyDescent="0.3">
      <c r="A156" s="68">
        <v>45810</v>
      </c>
      <c r="B156" t="s">
        <v>124</v>
      </c>
      <c r="C156" t="s">
        <v>898</v>
      </c>
      <c r="D156" t="s">
        <v>916</v>
      </c>
      <c r="E156" t="s">
        <v>116</v>
      </c>
      <c r="F156" t="s">
        <v>19</v>
      </c>
      <c r="G156" t="s">
        <v>906</v>
      </c>
      <c r="H156" t="s">
        <v>49</v>
      </c>
      <c r="I156">
        <v>14000</v>
      </c>
      <c r="J156">
        <v>1500</v>
      </c>
      <c r="K156">
        <v>12500</v>
      </c>
      <c r="L156" t="s">
        <v>61</v>
      </c>
    </row>
    <row r="157" spans="1:12" x14ac:dyDescent="0.3">
      <c r="A157" s="68">
        <v>45811</v>
      </c>
      <c r="B157" t="s">
        <v>195</v>
      </c>
      <c r="C157" t="s">
        <v>898</v>
      </c>
      <c r="D157" t="s">
        <v>917</v>
      </c>
      <c r="E157" t="s">
        <v>189</v>
      </c>
      <c r="F157" t="s">
        <v>19</v>
      </c>
      <c r="G157" t="s">
        <v>907</v>
      </c>
      <c r="H157" t="s">
        <v>8</v>
      </c>
      <c r="I157">
        <v>14000</v>
      </c>
      <c r="J157">
        <v>7000</v>
      </c>
      <c r="K157">
        <v>7000</v>
      </c>
      <c r="L157" t="s">
        <v>61</v>
      </c>
    </row>
    <row r="158" spans="1:12" x14ac:dyDescent="0.3">
      <c r="A158" s="68">
        <v>45811</v>
      </c>
      <c r="B158" t="s">
        <v>194</v>
      </c>
      <c r="C158" t="s">
        <v>898</v>
      </c>
      <c r="D158" t="s">
        <v>916</v>
      </c>
      <c r="E158" t="s">
        <v>189</v>
      </c>
      <c r="F158" t="s">
        <v>19</v>
      </c>
      <c r="G158" t="s">
        <v>906</v>
      </c>
      <c r="H158" t="s">
        <v>8</v>
      </c>
      <c r="I158">
        <v>14000</v>
      </c>
      <c r="J158">
        <v>2000</v>
      </c>
      <c r="K158">
        <v>12000</v>
      </c>
      <c r="L158" t="s">
        <v>61</v>
      </c>
    </row>
    <row r="159" spans="1:12" x14ac:dyDescent="0.3">
      <c r="A159" s="68">
        <v>45839</v>
      </c>
      <c r="B159" t="s">
        <v>75</v>
      </c>
      <c r="C159" t="s">
        <v>898</v>
      </c>
      <c r="D159" t="s">
        <v>915</v>
      </c>
      <c r="E159" t="s">
        <v>67</v>
      </c>
      <c r="F159" t="s">
        <v>19</v>
      </c>
      <c r="G159" t="s">
        <v>905</v>
      </c>
      <c r="H159" t="s">
        <v>49</v>
      </c>
      <c r="I159">
        <v>11800</v>
      </c>
      <c r="J159">
        <v>2000</v>
      </c>
      <c r="K159">
        <v>9800</v>
      </c>
      <c r="L159" t="s">
        <v>61</v>
      </c>
    </row>
    <row r="160" spans="1:12" x14ac:dyDescent="0.3">
      <c r="A160" s="68">
        <v>45839</v>
      </c>
      <c r="B160" t="s">
        <v>76</v>
      </c>
      <c r="C160" t="s">
        <v>898</v>
      </c>
      <c r="D160" t="s">
        <v>915</v>
      </c>
      <c r="E160" t="s">
        <v>67</v>
      </c>
      <c r="F160" t="s">
        <v>19</v>
      </c>
      <c r="G160" t="s">
        <v>905</v>
      </c>
      <c r="H160" t="s">
        <v>49</v>
      </c>
      <c r="I160">
        <v>11800</v>
      </c>
      <c r="J160">
        <v>1000</v>
      </c>
      <c r="K160">
        <v>10800</v>
      </c>
      <c r="L160" t="s">
        <v>61</v>
      </c>
    </row>
    <row r="161" spans="1:12" x14ac:dyDescent="0.3">
      <c r="A161" s="68">
        <v>45840</v>
      </c>
      <c r="B161" t="s">
        <v>125</v>
      </c>
      <c r="C161" t="s">
        <v>898</v>
      </c>
      <c r="D161" t="s">
        <v>917</v>
      </c>
      <c r="E161" t="s">
        <v>116</v>
      </c>
      <c r="F161" t="s">
        <v>19</v>
      </c>
      <c r="G161" t="s">
        <v>907</v>
      </c>
      <c r="H161" t="s">
        <v>49</v>
      </c>
      <c r="I161">
        <v>14000</v>
      </c>
      <c r="J161">
        <v>14000</v>
      </c>
      <c r="K161">
        <v>0</v>
      </c>
      <c r="L161" t="s">
        <v>2</v>
      </c>
    </row>
    <row r="162" spans="1:12" x14ac:dyDescent="0.3">
      <c r="A162" s="68">
        <v>45840</v>
      </c>
      <c r="B162" t="s">
        <v>127</v>
      </c>
      <c r="C162" t="s">
        <v>898</v>
      </c>
      <c r="D162" t="s">
        <v>915</v>
      </c>
      <c r="E162" t="s">
        <v>116</v>
      </c>
      <c r="F162" t="s">
        <v>19</v>
      </c>
      <c r="G162" t="s">
        <v>905</v>
      </c>
      <c r="H162" t="s">
        <v>49</v>
      </c>
      <c r="I162">
        <v>14000</v>
      </c>
      <c r="J162">
        <v>7000</v>
      </c>
      <c r="K162">
        <v>7000</v>
      </c>
      <c r="L162" t="s">
        <v>61</v>
      </c>
    </row>
    <row r="163" spans="1:12" x14ac:dyDescent="0.3">
      <c r="A163" s="68">
        <v>45840</v>
      </c>
      <c r="B163" t="s">
        <v>128</v>
      </c>
      <c r="C163" t="s">
        <v>898</v>
      </c>
      <c r="D163" t="s">
        <v>915</v>
      </c>
      <c r="E163" t="s">
        <v>116</v>
      </c>
      <c r="F163" t="s">
        <v>19</v>
      </c>
      <c r="G163" t="s">
        <v>905</v>
      </c>
      <c r="H163" t="s">
        <v>10</v>
      </c>
      <c r="I163">
        <v>14000</v>
      </c>
      <c r="J163">
        <v>7000</v>
      </c>
      <c r="K163">
        <v>7000</v>
      </c>
      <c r="L163" t="s">
        <v>61</v>
      </c>
    </row>
    <row r="164" spans="1:12" x14ac:dyDescent="0.3">
      <c r="A164" s="68">
        <v>45841</v>
      </c>
      <c r="B164" t="s">
        <v>196</v>
      </c>
      <c r="C164" t="s">
        <v>898</v>
      </c>
      <c r="D164" t="s">
        <v>917</v>
      </c>
      <c r="E164" t="s">
        <v>189</v>
      </c>
      <c r="F164" t="s">
        <v>19</v>
      </c>
      <c r="G164" t="s">
        <v>907</v>
      </c>
      <c r="H164" t="s">
        <v>8</v>
      </c>
      <c r="I164">
        <v>14000</v>
      </c>
      <c r="J164">
        <v>7000</v>
      </c>
      <c r="K164">
        <v>7000</v>
      </c>
      <c r="L164" t="s">
        <v>61</v>
      </c>
    </row>
    <row r="165" spans="1:12" x14ac:dyDescent="0.3">
      <c r="A165" s="68">
        <v>45841</v>
      </c>
      <c r="B165" t="s">
        <v>197</v>
      </c>
      <c r="C165" t="s">
        <v>898</v>
      </c>
      <c r="D165" t="s">
        <v>917</v>
      </c>
      <c r="E165" t="s">
        <v>189</v>
      </c>
      <c r="F165" t="s">
        <v>19</v>
      </c>
      <c r="G165" t="s">
        <v>907</v>
      </c>
      <c r="H165" t="s">
        <v>8</v>
      </c>
      <c r="I165">
        <v>14000</v>
      </c>
      <c r="J165">
        <v>14000</v>
      </c>
      <c r="K165">
        <v>0</v>
      </c>
      <c r="L165" t="s">
        <v>2</v>
      </c>
    </row>
    <row r="166" spans="1:12" x14ac:dyDescent="0.3">
      <c r="A166" s="68">
        <v>45841</v>
      </c>
      <c r="B166" t="s">
        <v>198</v>
      </c>
      <c r="C166" t="s">
        <v>898</v>
      </c>
      <c r="D166" t="s">
        <v>914</v>
      </c>
      <c r="E166" t="s">
        <v>189</v>
      </c>
      <c r="F166" t="s">
        <v>19</v>
      </c>
      <c r="G166" t="s">
        <v>904</v>
      </c>
      <c r="H166" t="s">
        <v>10</v>
      </c>
      <c r="I166">
        <v>20000</v>
      </c>
      <c r="J166">
        <v>10000</v>
      </c>
      <c r="K166">
        <v>10000</v>
      </c>
      <c r="L166" t="s">
        <v>61</v>
      </c>
    </row>
    <row r="167" spans="1:12" x14ac:dyDescent="0.3">
      <c r="A167" s="68">
        <v>45841</v>
      </c>
      <c r="B167" t="s">
        <v>201</v>
      </c>
      <c r="C167" t="s">
        <v>898</v>
      </c>
      <c r="D167" t="s">
        <v>917</v>
      </c>
      <c r="E167" t="s">
        <v>189</v>
      </c>
      <c r="F167" t="s">
        <v>19</v>
      </c>
      <c r="G167" t="s">
        <v>907</v>
      </c>
      <c r="H167" t="s">
        <v>49</v>
      </c>
      <c r="I167">
        <v>14000</v>
      </c>
      <c r="J167">
        <v>5000</v>
      </c>
      <c r="K167">
        <v>9000</v>
      </c>
      <c r="L167" t="s">
        <v>61</v>
      </c>
    </row>
    <row r="168" spans="1:12" x14ac:dyDescent="0.3">
      <c r="A168" s="68">
        <v>45871</v>
      </c>
      <c r="B168" t="s">
        <v>129</v>
      </c>
      <c r="C168" t="s">
        <v>898</v>
      </c>
      <c r="D168" t="s">
        <v>915</v>
      </c>
      <c r="E168" t="s">
        <v>116</v>
      </c>
      <c r="F168" t="s">
        <v>19</v>
      </c>
      <c r="G168" t="s">
        <v>905</v>
      </c>
      <c r="H168" t="s">
        <v>10</v>
      </c>
      <c r="I168">
        <v>14000</v>
      </c>
      <c r="J168">
        <v>7000</v>
      </c>
      <c r="K168">
        <v>7000</v>
      </c>
      <c r="L168" t="s">
        <v>61</v>
      </c>
    </row>
    <row r="169" spans="1:12" x14ac:dyDescent="0.3">
      <c r="A169" s="68">
        <v>45871</v>
      </c>
      <c r="B169" t="s">
        <v>130</v>
      </c>
      <c r="C169" t="s">
        <v>898</v>
      </c>
      <c r="D169" t="s">
        <v>915</v>
      </c>
      <c r="E169" t="s">
        <v>116</v>
      </c>
      <c r="F169" t="s">
        <v>19</v>
      </c>
      <c r="G169" t="s">
        <v>905</v>
      </c>
      <c r="H169" t="s">
        <v>10</v>
      </c>
      <c r="I169">
        <v>14000</v>
      </c>
      <c r="J169">
        <v>14000</v>
      </c>
      <c r="K169">
        <v>0</v>
      </c>
      <c r="L169" t="s">
        <v>2</v>
      </c>
    </row>
    <row r="170" spans="1:12" x14ac:dyDescent="0.3">
      <c r="A170" s="68">
        <v>45872</v>
      </c>
      <c r="B170" t="s">
        <v>202</v>
      </c>
      <c r="C170" t="s">
        <v>898</v>
      </c>
      <c r="D170" t="s">
        <v>917</v>
      </c>
      <c r="E170" t="s">
        <v>189</v>
      </c>
      <c r="F170" t="s">
        <v>19</v>
      </c>
      <c r="G170" t="s">
        <v>907</v>
      </c>
      <c r="H170" t="s">
        <v>10</v>
      </c>
      <c r="I170">
        <v>14000</v>
      </c>
      <c r="J170">
        <v>14000</v>
      </c>
      <c r="K170">
        <v>0</v>
      </c>
      <c r="L170" t="s">
        <v>2</v>
      </c>
    </row>
    <row r="171" spans="1:12" x14ac:dyDescent="0.3">
      <c r="A171" s="68">
        <v>45901</v>
      </c>
      <c r="B171" t="s">
        <v>78</v>
      </c>
      <c r="C171" t="s">
        <v>898</v>
      </c>
      <c r="D171" t="s">
        <v>915</v>
      </c>
      <c r="E171" t="s">
        <v>67</v>
      </c>
      <c r="F171" t="s">
        <v>19</v>
      </c>
      <c r="G171" t="s">
        <v>905</v>
      </c>
      <c r="H171" t="s">
        <v>49</v>
      </c>
      <c r="I171">
        <v>11800</v>
      </c>
      <c r="J171">
        <v>5000</v>
      </c>
      <c r="K171">
        <v>6800</v>
      </c>
      <c r="L171" t="s">
        <v>61</v>
      </c>
    </row>
    <row r="172" spans="1:12" x14ac:dyDescent="0.3">
      <c r="A172" s="68">
        <v>45901</v>
      </c>
      <c r="B172" t="s">
        <v>77</v>
      </c>
      <c r="C172" t="s">
        <v>898</v>
      </c>
      <c r="D172" t="s">
        <v>915</v>
      </c>
      <c r="E172" t="s">
        <v>67</v>
      </c>
      <c r="F172" t="s">
        <v>19</v>
      </c>
      <c r="G172" t="s">
        <v>905</v>
      </c>
      <c r="H172" t="s">
        <v>902</v>
      </c>
      <c r="I172">
        <v>11800</v>
      </c>
      <c r="J172">
        <v>11800</v>
      </c>
      <c r="K172">
        <v>0</v>
      </c>
      <c r="L172" t="s">
        <v>2</v>
      </c>
    </row>
    <row r="173" spans="1:12" x14ac:dyDescent="0.3">
      <c r="A173" s="68">
        <v>45902</v>
      </c>
      <c r="B173" t="s">
        <v>131</v>
      </c>
      <c r="C173" t="s">
        <v>899</v>
      </c>
      <c r="D173" t="s">
        <v>915</v>
      </c>
      <c r="E173" t="s">
        <v>116</v>
      </c>
      <c r="F173" t="s">
        <v>19</v>
      </c>
      <c r="G173" t="s">
        <v>905</v>
      </c>
      <c r="H173" t="s">
        <v>8</v>
      </c>
      <c r="I173">
        <v>14000</v>
      </c>
      <c r="J173">
        <v>14000</v>
      </c>
      <c r="K173">
        <v>0</v>
      </c>
      <c r="L173" t="s">
        <v>2</v>
      </c>
    </row>
    <row r="174" spans="1:12" x14ac:dyDescent="0.3">
      <c r="A174" s="68">
        <v>45903</v>
      </c>
      <c r="B174" t="s">
        <v>203</v>
      </c>
      <c r="C174" t="s">
        <v>898</v>
      </c>
      <c r="D174" t="s">
        <v>916</v>
      </c>
      <c r="E174" t="s">
        <v>189</v>
      </c>
      <c r="F174" t="s">
        <v>19</v>
      </c>
      <c r="G174" t="s">
        <v>906</v>
      </c>
      <c r="H174" t="s">
        <v>10</v>
      </c>
      <c r="I174">
        <v>14000</v>
      </c>
      <c r="J174">
        <v>2000</v>
      </c>
      <c r="K174">
        <v>12000</v>
      </c>
      <c r="L174" t="s">
        <v>61</v>
      </c>
    </row>
    <row r="175" spans="1:12" x14ac:dyDescent="0.3">
      <c r="A175" s="68">
        <v>45931</v>
      </c>
      <c r="B175" t="s">
        <v>82</v>
      </c>
      <c r="C175" t="s">
        <v>898</v>
      </c>
      <c r="D175" t="s">
        <v>916</v>
      </c>
      <c r="E175" t="s">
        <v>67</v>
      </c>
      <c r="F175" t="s">
        <v>19</v>
      </c>
      <c r="G175" t="s">
        <v>906</v>
      </c>
      <c r="H175" t="s">
        <v>8</v>
      </c>
      <c r="I175">
        <v>11800</v>
      </c>
      <c r="J175">
        <v>1000</v>
      </c>
      <c r="K175">
        <v>10800</v>
      </c>
      <c r="L175" t="s">
        <v>61</v>
      </c>
    </row>
    <row r="176" spans="1:12" x14ac:dyDescent="0.3">
      <c r="A176" s="68">
        <v>45931</v>
      </c>
      <c r="B176" t="s">
        <v>81</v>
      </c>
      <c r="C176" t="s">
        <v>898</v>
      </c>
      <c r="D176" t="s">
        <v>915</v>
      </c>
      <c r="E176" t="s">
        <v>67</v>
      </c>
      <c r="F176" t="s">
        <v>19</v>
      </c>
      <c r="G176" t="s">
        <v>905</v>
      </c>
      <c r="H176" t="s">
        <v>902</v>
      </c>
      <c r="I176">
        <v>11800</v>
      </c>
      <c r="J176">
        <v>11800</v>
      </c>
      <c r="K176">
        <v>0</v>
      </c>
      <c r="L176" t="s">
        <v>2</v>
      </c>
    </row>
    <row r="177" spans="1:12" x14ac:dyDescent="0.3">
      <c r="A177" s="68">
        <v>45931</v>
      </c>
      <c r="B177" t="s">
        <v>80</v>
      </c>
      <c r="C177" t="s">
        <v>898</v>
      </c>
      <c r="D177" t="s">
        <v>913</v>
      </c>
      <c r="E177" t="s">
        <v>67</v>
      </c>
      <c r="F177" t="s">
        <v>19</v>
      </c>
      <c r="G177" t="s">
        <v>903</v>
      </c>
      <c r="H177" t="s">
        <v>49</v>
      </c>
      <c r="I177">
        <v>11800</v>
      </c>
      <c r="J177">
        <v>2000</v>
      </c>
      <c r="K177">
        <v>9800</v>
      </c>
      <c r="L177" t="s">
        <v>61</v>
      </c>
    </row>
    <row r="178" spans="1:12" x14ac:dyDescent="0.3">
      <c r="A178" s="68">
        <v>45931</v>
      </c>
      <c r="B178" t="s">
        <v>79</v>
      </c>
      <c r="C178" t="s">
        <v>898</v>
      </c>
      <c r="D178" t="s">
        <v>915</v>
      </c>
      <c r="E178" t="s">
        <v>67</v>
      </c>
      <c r="F178" t="s">
        <v>19</v>
      </c>
      <c r="G178" t="s">
        <v>905</v>
      </c>
      <c r="H178" t="s">
        <v>8</v>
      </c>
      <c r="I178">
        <v>11800</v>
      </c>
      <c r="J178">
        <v>5000</v>
      </c>
      <c r="K178">
        <v>6800</v>
      </c>
      <c r="L178" t="s">
        <v>61</v>
      </c>
    </row>
    <row r="179" spans="1:12" x14ac:dyDescent="0.3">
      <c r="A179" s="68">
        <v>45932</v>
      </c>
      <c r="B179" t="s">
        <v>134</v>
      </c>
      <c r="C179" t="s">
        <v>898</v>
      </c>
      <c r="D179" t="s">
        <v>915</v>
      </c>
      <c r="E179" t="s">
        <v>116</v>
      </c>
      <c r="F179" t="s">
        <v>19</v>
      </c>
      <c r="G179" t="s">
        <v>905</v>
      </c>
      <c r="H179" t="s">
        <v>10</v>
      </c>
      <c r="I179">
        <v>14000</v>
      </c>
      <c r="J179">
        <v>7000</v>
      </c>
      <c r="K179">
        <v>7000</v>
      </c>
      <c r="L179" t="s">
        <v>61</v>
      </c>
    </row>
    <row r="180" spans="1:12" x14ac:dyDescent="0.3">
      <c r="A180" s="68">
        <v>45932</v>
      </c>
      <c r="B180" t="s">
        <v>133</v>
      </c>
      <c r="C180" t="s">
        <v>898</v>
      </c>
      <c r="D180" t="s">
        <v>916</v>
      </c>
      <c r="E180" t="s">
        <v>116</v>
      </c>
      <c r="F180" t="s">
        <v>19</v>
      </c>
      <c r="G180" t="s">
        <v>906</v>
      </c>
      <c r="H180" t="s">
        <v>8</v>
      </c>
      <c r="I180">
        <v>14000</v>
      </c>
      <c r="J180">
        <v>1000</v>
      </c>
      <c r="K180">
        <v>13000</v>
      </c>
      <c r="L180" t="s">
        <v>61</v>
      </c>
    </row>
    <row r="181" spans="1:12" x14ac:dyDescent="0.3">
      <c r="A181" s="68">
        <v>45932</v>
      </c>
      <c r="B181" t="s">
        <v>132</v>
      </c>
      <c r="C181" t="s">
        <v>898</v>
      </c>
      <c r="D181" t="s">
        <v>915</v>
      </c>
      <c r="E181" t="s">
        <v>116</v>
      </c>
      <c r="F181" t="s">
        <v>19</v>
      </c>
      <c r="G181" t="s">
        <v>905</v>
      </c>
      <c r="H181" t="s">
        <v>49</v>
      </c>
      <c r="I181">
        <v>14000</v>
      </c>
      <c r="J181">
        <v>14000</v>
      </c>
      <c r="K181">
        <v>0</v>
      </c>
      <c r="L181" t="s">
        <v>2</v>
      </c>
    </row>
    <row r="182" spans="1:12" x14ac:dyDescent="0.3">
      <c r="A182" s="68">
        <v>45933</v>
      </c>
      <c r="B182" t="s">
        <v>208</v>
      </c>
      <c r="C182" t="s">
        <v>898</v>
      </c>
      <c r="D182" t="s">
        <v>916</v>
      </c>
      <c r="E182" t="s">
        <v>189</v>
      </c>
      <c r="F182" t="s">
        <v>19</v>
      </c>
      <c r="G182" t="s">
        <v>906</v>
      </c>
      <c r="H182" t="s">
        <v>8</v>
      </c>
      <c r="I182">
        <v>14000</v>
      </c>
      <c r="J182">
        <v>1000</v>
      </c>
      <c r="K182">
        <v>13000</v>
      </c>
      <c r="L182" t="s">
        <v>61</v>
      </c>
    </row>
    <row r="183" spans="1:12" x14ac:dyDescent="0.3">
      <c r="A183" s="68">
        <v>45933</v>
      </c>
      <c r="B183" t="s">
        <v>204</v>
      </c>
      <c r="C183" t="s">
        <v>898</v>
      </c>
      <c r="D183" t="s">
        <v>917</v>
      </c>
      <c r="E183" t="s">
        <v>189</v>
      </c>
      <c r="F183" t="s">
        <v>19</v>
      </c>
      <c r="G183" t="s">
        <v>907</v>
      </c>
      <c r="H183" t="s">
        <v>10</v>
      </c>
      <c r="I183">
        <v>14000</v>
      </c>
      <c r="J183">
        <v>14000</v>
      </c>
      <c r="K183">
        <v>0</v>
      </c>
      <c r="L183" t="s">
        <v>2</v>
      </c>
    </row>
    <row r="184" spans="1:12" x14ac:dyDescent="0.3">
      <c r="A184" s="68">
        <v>45933</v>
      </c>
      <c r="B184" t="s">
        <v>210</v>
      </c>
      <c r="C184" t="s">
        <v>898</v>
      </c>
      <c r="D184" t="s">
        <v>917</v>
      </c>
      <c r="E184" t="s">
        <v>189</v>
      </c>
      <c r="F184" t="s">
        <v>19</v>
      </c>
      <c r="G184" t="s">
        <v>907</v>
      </c>
      <c r="H184" t="s">
        <v>8</v>
      </c>
      <c r="I184">
        <v>10000</v>
      </c>
      <c r="J184">
        <v>10000</v>
      </c>
      <c r="K184">
        <v>0</v>
      </c>
      <c r="L184" t="s">
        <v>2</v>
      </c>
    </row>
    <row r="185" spans="1:12" x14ac:dyDescent="0.3">
      <c r="A185" s="68">
        <v>45933</v>
      </c>
      <c r="B185" t="s">
        <v>209</v>
      </c>
      <c r="C185" t="s">
        <v>898</v>
      </c>
      <c r="D185" t="s">
        <v>917</v>
      </c>
      <c r="E185" t="s">
        <v>189</v>
      </c>
      <c r="F185" t="s">
        <v>19</v>
      </c>
      <c r="G185" t="s">
        <v>907</v>
      </c>
      <c r="H185" t="s">
        <v>8</v>
      </c>
      <c r="I185">
        <v>10000</v>
      </c>
      <c r="J185">
        <v>10000</v>
      </c>
      <c r="K185">
        <v>0</v>
      </c>
      <c r="L185" t="s">
        <v>2</v>
      </c>
    </row>
    <row r="186" spans="1:12" x14ac:dyDescent="0.3">
      <c r="A186" s="68">
        <v>45933</v>
      </c>
      <c r="B186" t="s">
        <v>207</v>
      </c>
      <c r="C186" t="s">
        <v>899</v>
      </c>
      <c r="D186" t="s">
        <v>917</v>
      </c>
      <c r="E186" t="s">
        <v>189</v>
      </c>
      <c r="F186" t="s">
        <v>19</v>
      </c>
      <c r="G186" t="s">
        <v>907</v>
      </c>
      <c r="H186" t="s">
        <v>49</v>
      </c>
      <c r="I186">
        <v>10000</v>
      </c>
      <c r="J186">
        <v>10000</v>
      </c>
      <c r="K186">
        <v>0</v>
      </c>
      <c r="L186" t="s">
        <v>2</v>
      </c>
    </row>
    <row r="187" spans="1:12" x14ac:dyDescent="0.3">
      <c r="A187" s="68">
        <v>45933</v>
      </c>
      <c r="B187" t="s">
        <v>206</v>
      </c>
      <c r="C187" t="s">
        <v>898</v>
      </c>
      <c r="D187" t="s">
        <v>917</v>
      </c>
      <c r="E187" t="s">
        <v>189</v>
      </c>
      <c r="F187" t="s">
        <v>19</v>
      </c>
      <c r="G187" t="s">
        <v>907</v>
      </c>
      <c r="H187" t="s">
        <v>49</v>
      </c>
      <c r="I187">
        <v>10000</v>
      </c>
      <c r="J187">
        <v>10000</v>
      </c>
      <c r="K187">
        <v>0</v>
      </c>
      <c r="L187" t="s">
        <v>2</v>
      </c>
    </row>
    <row r="188" spans="1:12" x14ac:dyDescent="0.3">
      <c r="A188" s="68">
        <v>45933</v>
      </c>
      <c r="B188" t="s">
        <v>205</v>
      </c>
      <c r="C188" t="s">
        <v>898</v>
      </c>
      <c r="D188" t="s">
        <v>917</v>
      </c>
      <c r="E188" t="s">
        <v>189</v>
      </c>
      <c r="F188" t="s">
        <v>19</v>
      </c>
      <c r="G188" t="s">
        <v>907</v>
      </c>
      <c r="H188" t="s">
        <v>10</v>
      </c>
      <c r="I188">
        <v>14000</v>
      </c>
      <c r="J188">
        <v>7000</v>
      </c>
      <c r="K188">
        <v>7000</v>
      </c>
      <c r="L188" t="s">
        <v>61</v>
      </c>
    </row>
    <row r="189" spans="1:12" x14ac:dyDescent="0.3">
      <c r="A189" s="68">
        <v>45963</v>
      </c>
      <c r="B189" t="s">
        <v>139</v>
      </c>
      <c r="C189" t="s">
        <v>898</v>
      </c>
      <c r="D189" t="s">
        <v>915</v>
      </c>
      <c r="E189" t="s">
        <v>116</v>
      </c>
      <c r="F189" t="s">
        <v>19</v>
      </c>
      <c r="G189" t="s">
        <v>905</v>
      </c>
      <c r="H189" t="s">
        <v>10</v>
      </c>
      <c r="I189">
        <v>14000</v>
      </c>
      <c r="J189">
        <v>7000</v>
      </c>
      <c r="K189">
        <v>7000</v>
      </c>
      <c r="L189" t="s">
        <v>61</v>
      </c>
    </row>
    <row r="190" spans="1:12" x14ac:dyDescent="0.3">
      <c r="A190" s="68">
        <v>45963</v>
      </c>
      <c r="B190" t="s">
        <v>138</v>
      </c>
      <c r="C190" t="s">
        <v>898</v>
      </c>
      <c r="D190" t="s">
        <v>916</v>
      </c>
      <c r="E190" t="s">
        <v>116</v>
      </c>
      <c r="F190" t="s">
        <v>19</v>
      </c>
      <c r="G190" t="s">
        <v>906</v>
      </c>
      <c r="H190" t="s">
        <v>10</v>
      </c>
      <c r="I190">
        <v>14000</v>
      </c>
      <c r="J190">
        <v>1500</v>
      </c>
      <c r="K190">
        <v>12500</v>
      </c>
      <c r="L190" t="s">
        <v>61</v>
      </c>
    </row>
    <row r="191" spans="1:12" x14ac:dyDescent="0.3">
      <c r="A191" s="68">
        <v>45963</v>
      </c>
      <c r="B191" t="s">
        <v>137</v>
      </c>
      <c r="C191" t="s">
        <v>899</v>
      </c>
      <c r="D191" t="s">
        <v>913</v>
      </c>
      <c r="E191" t="s">
        <v>116</v>
      </c>
      <c r="F191" t="s">
        <v>19</v>
      </c>
      <c r="G191" t="s">
        <v>903</v>
      </c>
      <c r="H191" t="s">
        <v>49</v>
      </c>
      <c r="I191">
        <v>14000</v>
      </c>
      <c r="J191">
        <v>14000</v>
      </c>
      <c r="K191">
        <v>0</v>
      </c>
      <c r="L191" t="s">
        <v>2</v>
      </c>
    </row>
    <row r="192" spans="1:12" x14ac:dyDescent="0.3">
      <c r="A192" s="68">
        <v>45963</v>
      </c>
      <c r="B192" t="s">
        <v>135</v>
      </c>
      <c r="C192" t="s">
        <v>898</v>
      </c>
      <c r="D192" t="s">
        <v>912</v>
      </c>
      <c r="E192" t="s">
        <v>116</v>
      </c>
      <c r="F192" t="s">
        <v>0</v>
      </c>
      <c r="G192" t="s">
        <v>901</v>
      </c>
      <c r="H192" t="s">
        <v>10</v>
      </c>
      <c r="I192">
        <v>1000</v>
      </c>
      <c r="J192">
        <v>1000</v>
      </c>
      <c r="K192">
        <v>0</v>
      </c>
      <c r="L192" t="s">
        <v>2</v>
      </c>
    </row>
    <row r="193" spans="1:12" x14ac:dyDescent="0.3">
      <c r="A193" s="68">
        <v>45964</v>
      </c>
      <c r="B193" t="s">
        <v>211</v>
      </c>
      <c r="C193" t="s">
        <v>898</v>
      </c>
      <c r="D193" t="s">
        <v>916</v>
      </c>
      <c r="E193" t="s">
        <v>189</v>
      </c>
      <c r="F193" t="s">
        <v>19</v>
      </c>
      <c r="G193" t="s">
        <v>906</v>
      </c>
      <c r="H193" t="s">
        <v>49</v>
      </c>
      <c r="I193">
        <v>14000</v>
      </c>
      <c r="J193">
        <v>1000</v>
      </c>
      <c r="K193">
        <v>13000</v>
      </c>
      <c r="L193" t="s">
        <v>61</v>
      </c>
    </row>
    <row r="194" spans="1:12" x14ac:dyDescent="0.3">
      <c r="A194" s="68">
        <v>45964</v>
      </c>
      <c r="B194" t="s">
        <v>212</v>
      </c>
      <c r="C194" t="s">
        <v>898</v>
      </c>
      <c r="D194" t="s">
        <v>917</v>
      </c>
      <c r="E194" t="s">
        <v>189</v>
      </c>
      <c r="F194" t="s">
        <v>19</v>
      </c>
      <c r="G194" t="s">
        <v>907</v>
      </c>
      <c r="H194" t="s">
        <v>49</v>
      </c>
      <c r="I194">
        <v>14000</v>
      </c>
      <c r="J194">
        <v>7000</v>
      </c>
      <c r="K194">
        <v>7000</v>
      </c>
      <c r="L194" t="s">
        <v>61</v>
      </c>
    </row>
    <row r="195" spans="1:12" x14ac:dyDescent="0.3">
      <c r="A195" s="68">
        <v>45964</v>
      </c>
      <c r="B195" t="s">
        <v>213</v>
      </c>
      <c r="C195" t="s">
        <v>898</v>
      </c>
      <c r="D195" t="s">
        <v>917</v>
      </c>
      <c r="E195" t="s">
        <v>189</v>
      </c>
      <c r="F195" t="s">
        <v>19</v>
      </c>
      <c r="G195" t="s">
        <v>907</v>
      </c>
      <c r="H195" t="s">
        <v>49</v>
      </c>
      <c r="I195">
        <v>14000</v>
      </c>
      <c r="J195">
        <v>14000</v>
      </c>
      <c r="K195">
        <v>0</v>
      </c>
      <c r="L195" t="s">
        <v>2</v>
      </c>
    </row>
    <row r="196" spans="1:12" x14ac:dyDescent="0.3">
      <c r="A196" s="68">
        <v>45993</v>
      </c>
      <c r="B196" t="s">
        <v>140</v>
      </c>
      <c r="C196" t="s">
        <v>898</v>
      </c>
      <c r="D196" t="s">
        <v>916</v>
      </c>
      <c r="E196" t="s">
        <v>116</v>
      </c>
      <c r="F196" t="s">
        <v>19</v>
      </c>
      <c r="G196" t="s">
        <v>906</v>
      </c>
      <c r="H196" t="s">
        <v>49</v>
      </c>
      <c r="I196">
        <v>1000</v>
      </c>
      <c r="J196">
        <v>1000</v>
      </c>
      <c r="K196">
        <v>0</v>
      </c>
      <c r="L196" t="s">
        <v>2</v>
      </c>
    </row>
    <row r="197" spans="1:12" x14ac:dyDescent="0.3">
      <c r="A197" s="68">
        <v>45994</v>
      </c>
      <c r="B197" t="s">
        <v>217</v>
      </c>
      <c r="C197" t="s">
        <v>898</v>
      </c>
      <c r="D197" t="s">
        <v>917</v>
      </c>
      <c r="E197" t="s">
        <v>189</v>
      </c>
      <c r="F197" t="s">
        <v>19</v>
      </c>
      <c r="G197" t="s">
        <v>907</v>
      </c>
      <c r="H197" t="s">
        <v>8</v>
      </c>
      <c r="I197">
        <v>14000</v>
      </c>
      <c r="J197">
        <v>10000</v>
      </c>
      <c r="K197">
        <v>4000</v>
      </c>
      <c r="L197" t="s">
        <v>61</v>
      </c>
    </row>
    <row r="198" spans="1:12" x14ac:dyDescent="0.3">
      <c r="A198" s="68">
        <v>45994</v>
      </c>
      <c r="B198" t="s">
        <v>214</v>
      </c>
      <c r="C198" t="s">
        <v>898</v>
      </c>
      <c r="D198" t="s">
        <v>917</v>
      </c>
      <c r="E198" t="s">
        <v>189</v>
      </c>
      <c r="F198" t="s">
        <v>19</v>
      </c>
      <c r="G198" t="s">
        <v>907</v>
      </c>
      <c r="H198" t="s">
        <v>10</v>
      </c>
      <c r="I198">
        <v>14000</v>
      </c>
      <c r="J198">
        <v>14000</v>
      </c>
      <c r="K198">
        <v>0</v>
      </c>
      <c r="L198" t="s">
        <v>2</v>
      </c>
    </row>
    <row r="199" spans="1:12" x14ac:dyDescent="0.3">
      <c r="A199" s="68">
        <v>45994</v>
      </c>
      <c r="B199" t="s">
        <v>215</v>
      </c>
      <c r="C199" t="s">
        <v>898</v>
      </c>
      <c r="D199" t="s">
        <v>917</v>
      </c>
      <c r="E199" t="s">
        <v>189</v>
      </c>
      <c r="F199" t="s">
        <v>19</v>
      </c>
      <c r="G199" t="s">
        <v>907</v>
      </c>
      <c r="H199" t="s">
        <v>49</v>
      </c>
      <c r="I199">
        <v>14000</v>
      </c>
      <c r="J199">
        <v>14000</v>
      </c>
      <c r="K199">
        <v>0</v>
      </c>
      <c r="L199" t="s">
        <v>2</v>
      </c>
    </row>
    <row r="200" spans="1:12" x14ac:dyDescent="0.3">
      <c r="A200" s="68">
        <v>45994</v>
      </c>
      <c r="B200" t="s">
        <v>216</v>
      </c>
      <c r="C200" t="s">
        <v>898</v>
      </c>
      <c r="D200" t="s">
        <v>917</v>
      </c>
      <c r="E200" t="s">
        <v>189</v>
      </c>
      <c r="F200" t="s">
        <v>19</v>
      </c>
      <c r="G200" t="s">
        <v>907</v>
      </c>
      <c r="H200" t="s">
        <v>8</v>
      </c>
      <c r="I200">
        <v>14000</v>
      </c>
      <c r="J200">
        <v>14000</v>
      </c>
      <c r="K200">
        <v>0</v>
      </c>
      <c r="L200" t="s">
        <v>2</v>
      </c>
    </row>
  </sheetData>
  <phoneticPr fontId="10"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0F2CA-D30F-4FC2-9A6F-DEB55F8E1D7F}">
  <sheetPr>
    <pageSetUpPr fitToPage="1"/>
  </sheetPr>
  <dimension ref="L2"/>
  <sheetViews>
    <sheetView showGridLines="0" tabSelected="1" zoomScale="70" workbookViewId="0">
      <selection activeCell="X14" sqref="X14"/>
    </sheetView>
  </sheetViews>
  <sheetFormatPr defaultRowHeight="14.4" x14ac:dyDescent="0.3"/>
  <cols>
    <col min="13" max="13" width="9.109375" customWidth="1"/>
  </cols>
  <sheetData>
    <row r="2" spans="12:12" ht="61.2" x14ac:dyDescent="1.1000000000000001">
      <c r="L2" s="74"/>
    </row>
  </sheetData>
  <pageMargins left="0.7" right="0.7" top="0.75" bottom="0.75" header="0.3" footer="0.3"/>
  <pageSetup scale="59" fitToHeight="0"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919AF21-77F9-4D5A-9FEE-9AB2F6E9F49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pivottable</vt:lpstr>
      <vt:lpstr>Table1_1</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shahid kv</dc:creator>
  <cp:keywords/>
  <dc:description/>
  <cp:lastModifiedBy>sajad pooparambil</cp:lastModifiedBy>
  <cp:revision/>
  <cp:lastPrinted>2025-09-29T09:57:56Z</cp:lastPrinted>
  <dcterms:created xsi:type="dcterms:W3CDTF">2025-09-27T05:41:31Z</dcterms:created>
  <dcterms:modified xsi:type="dcterms:W3CDTF">2026-02-23T04:42:39Z</dcterms:modified>
  <cp:category/>
  <cp:contentStatus/>
</cp:coreProperties>
</file>